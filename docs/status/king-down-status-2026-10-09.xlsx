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ces" sheetId="1" state="visible" r:id="rId1"/>
    <sheet name="Cards" sheetId="2" state="visible" r:id="rId2"/>
    <sheet name="King powers" sheetId="3" state="visible" r:id="rId3"/>
    <sheet name="Rules" sheetId="4" state="visible" r:id="rId4"/>
    <sheet name="Piece matrix" sheetId="5" state="visible" r:id="rId5"/>
    <sheet name="Card matrix" sheetId="6" state="visible" r:id="rId6"/>
    <sheet name="Lists" sheetId="7" state="hidden" r:id="rId7"/>
  </sheets>
  <definedNames>
    <definedName name="_xlnm._FilterDatabase" localSheetId="0" hidden="1">'Pieces'!$A$1:$W$17</definedName>
    <definedName name="_xlnm._FilterDatabase" localSheetId="1" hidden="1">'Cards'!$A$1:$S$27</definedName>
    <definedName name="_xlnm._FilterDatabase" localSheetId="2" hidden="1">'King powers'!$A$1:$AJ$13</definedName>
    <definedName name="_xlnm._FilterDatabase" localSheetId="3" hidden="1">'Rules'!$A$1:$E$24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E4DFEC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1" fillId="8" borderId="0" pivotButton="0" quotePrefix="0" xfId="0"/>
    <xf numFmtId="0" fontId="1" fillId="0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40" customWidth="1" min="5" max="5"/>
    <col width="40" customWidth="1" min="6" max="6"/>
    <col width="24" customWidth="1" min="7" max="7"/>
    <col width="16" customWidth="1" min="8" max="8"/>
    <col width="40" customWidth="1" min="9" max="9"/>
    <col width="40" customWidth="1" min="10" max="10"/>
    <col width="24" customWidth="1" min="11" max="11"/>
    <col width="16" customWidth="1" min="12" max="12"/>
    <col width="40" customWidth="1" min="13" max="13"/>
    <col width="40" customWidth="1" min="14" max="14"/>
    <col width="24" customWidth="1" min="15" max="15"/>
    <col width="16" customWidth="1" min="16" max="16"/>
    <col width="40" customWidth="1" min="17" max="17"/>
    <col width="40" customWidth="1" min="18" max="18"/>
    <col width="24" customWidth="1" min="19" max="19"/>
    <col width="16" customWidth="1" min="20" max="20"/>
    <col width="40" customWidth="1" min="21" max="21"/>
    <col width="40" customWidth="1" min="22" max="22"/>
    <col width="40" customWidth="1" min="23" max="23"/>
  </cols>
  <sheetData>
    <row r="1">
      <c r="A1" s="1" t="inlineStr">
        <is>
          <t>Name</t>
        </is>
      </c>
      <c r="B1" s="1" t="inlineStr">
        <is>
          <t>Current status</t>
        </is>
      </c>
      <c r="C1" s="1" t="inlineStr">
        <is>
          <t>Version 1</t>
        </is>
      </c>
      <c r="D1" s="1" t="inlineStr">
        <is>
          <t>V1 status</t>
        </is>
      </c>
      <c r="E1" s="1" t="inlineStr">
        <is>
          <t>V1 what it does</t>
        </is>
      </c>
      <c r="F1" s="1" t="inlineStr">
        <is>
          <t>V1 notes / results</t>
        </is>
      </c>
      <c r="G1" s="1" t="inlineStr">
        <is>
          <t>Version 2</t>
        </is>
      </c>
      <c r="H1" s="1" t="inlineStr">
        <is>
          <t>V2 status</t>
        </is>
      </c>
      <c r="I1" s="1" t="inlineStr">
        <is>
          <t>V2 what it does</t>
        </is>
      </c>
      <c r="J1" s="1" t="inlineStr">
        <is>
          <t>V2 notes / results</t>
        </is>
      </c>
      <c r="K1" s="1" t="inlineStr">
        <is>
          <t>Version 3</t>
        </is>
      </c>
      <c r="L1" s="1" t="inlineStr">
        <is>
          <t>V3 status</t>
        </is>
      </c>
      <c r="M1" s="1" t="inlineStr">
        <is>
          <t>V3 what it does</t>
        </is>
      </c>
      <c r="N1" s="1" t="inlineStr">
        <is>
          <t>V3 notes / results</t>
        </is>
      </c>
      <c r="O1" s="1" t="inlineStr">
        <is>
          <t>Version 4</t>
        </is>
      </c>
      <c r="P1" s="1" t="inlineStr">
        <is>
          <t>V4 status</t>
        </is>
      </c>
      <c r="Q1" s="1" t="inlineStr">
        <is>
          <t>V4 what it does</t>
        </is>
      </c>
      <c r="R1" s="1" t="inlineStr">
        <is>
          <t>V4 notes / results</t>
        </is>
      </c>
      <c r="S1" s="1" t="inlineStr">
        <is>
          <t>Version 5</t>
        </is>
      </c>
      <c r="T1" s="1" t="inlineStr">
        <is>
          <t>V5 status</t>
        </is>
      </c>
      <c r="U1" s="1" t="inlineStr">
        <is>
          <t>V5 what it does</t>
        </is>
      </c>
      <c r="V1" s="1" t="inlineStr">
        <is>
          <t>V5 notes / results</t>
        </is>
      </c>
      <c r="W1" s="1" t="inlineStr">
        <is>
          <t>Source</t>
        </is>
      </c>
    </row>
    <row r="2">
      <c r="A2" s="2" t="inlineStr">
        <is>
          <t>Pawn</t>
        </is>
      </c>
      <c r="B2" s="3" t="inlineStr">
        <is>
          <t>Approved</t>
        </is>
      </c>
      <c r="C2" s="2" t="inlineStr">
        <is>
          <t>Base</t>
        </is>
      </c>
      <c r="D2" s="3" t="inlineStr">
        <is>
          <t>Approved</t>
        </is>
      </c>
      <c r="E2" s="2" t="inlineStr">
        <is>
          <t>Moves 1 forward (2 from the start), takes 1 diagonally forward, and promotes on the last rank.</t>
        </is>
      </c>
      <c r="F2" s="2" t="inlineStr">
        <is>
          <t>Promotion to Q, R, B or N only (decided 2026-09-17). Fairy promotion measured null (1.3% of promotions) and stays a lab option; ?rules=2017 keeps it.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docs/RULES.md §1 §3 §6.13</t>
        </is>
      </c>
    </row>
    <row r="3">
      <c r="A3" s="2" t="inlineStr">
        <is>
          <t>Knight</t>
        </is>
      </c>
      <c r="B3" s="3" t="inlineStr">
        <is>
          <t>Approved</t>
        </is>
      </c>
      <c r="C3" s="2" t="inlineStr">
        <is>
          <t>Base</t>
        </is>
      </c>
      <c r="D3" s="3" t="inlineStr">
        <is>
          <t>Approved</t>
        </is>
      </c>
      <c r="E3" s="2" t="inlineStr">
        <is>
          <t>Standard chess knight.</t>
        </is>
      </c>
      <c r="F3" s="2" t="inlineStr">
        <is>
          <t>In the random pool (2).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docs/RULES.md §2 §3</t>
        </is>
      </c>
    </row>
    <row r="4">
      <c r="A4" s="2" t="inlineStr">
        <is>
          <t>Bishop</t>
        </is>
      </c>
      <c r="B4" s="3" t="inlineStr">
        <is>
          <t>Approved</t>
        </is>
      </c>
      <c r="C4" s="2" t="inlineStr">
        <is>
          <t>Base</t>
        </is>
      </c>
      <c r="D4" s="3" t="inlineStr">
        <is>
          <t>Approved</t>
        </is>
      </c>
      <c r="E4" s="2" t="inlineStr">
        <is>
          <t>Standard chess bishop.</t>
        </is>
      </c>
      <c r="F4" s="2" t="inlineStr">
        <is>
          <t>In the random pool (2). If both are drawn, they start on opposite colours.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docs/RULES.md §2 §6.1</t>
        </is>
      </c>
    </row>
    <row r="5">
      <c r="A5" s="2" t="inlineStr">
        <is>
          <t>Rook</t>
        </is>
      </c>
      <c r="B5" s="3" t="inlineStr">
        <is>
          <t>Approved</t>
        </is>
      </c>
      <c r="C5" s="2" t="inlineStr">
        <is>
          <t>Base</t>
        </is>
      </c>
      <c r="D5" s="3" t="inlineStr">
        <is>
          <t>Approved</t>
        </is>
      </c>
      <c r="E5" s="2" t="inlineStr">
        <is>
          <t>Standard chess rook.</t>
        </is>
      </c>
      <c r="F5" s="2" t="inlineStr">
        <is>
          <t>In the random pool (2). No castling.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docs/RULES.md §2 §3</t>
        </is>
      </c>
    </row>
    <row r="6">
      <c r="A6" s="2" t="inlineStr">
        <is>
          <t>Queen</t>
        </is>
      </c>
      <c r="B6" s="3" t="inlineStr">
        <is>
          <t>Approved</t>
        </is>
      </c>
      <c r="C6" s="2" t="inlineStr">
        <is>
          <t>Base</t>
        </is>
      </c>
      <c r="D6" s="3" t="inlineStr">
        <is>
          <t>Approved</t>
        </is>
      </c>
      <c r="E6" s="2" t="inlineStr">
        <is>
          <t>Standard chess queen.</t>
        </is>
      </c>
      <c r="F6" s="2" t="inlineStr">
        <is>
          <t>In the random pool (1).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docs/RULES.md §2 §3</t>
        </is>
      </c>
    </row>
    <row r="7">
      <c r="A7" s="2" t="inlineStr">
        <is>
          <t>King</t>
        </is>
      </c>
      <c r="B7" s="3" t="inlineStr">
        <is>
          <t>Approved</t>
        </is>
      </c>
      <c r="C7" s="2" t="inlineStr">
        <is>
          <t>Base</t>
        </is>
      </c>
      <c r="D7" s="3" t="inlineStr">
        <is>
          <t>Approved</t>
        </is>
      </c>
      <c r="E7" s="2" t="inlineStr">
        <is>
          <t>Standard chess king.</t>
        </is>
      </c>
      <c r="F7" s="2" t="inlineStr">
        <is>
          <t>Always on the back rank. It can have one of the twelve powers in kings' powers mode.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docs/RULES.md §2 §4</t>
        </is>
      </c>
    </row>
    <row r="8">
      <c r="A8" s="2" t="inlineStr">
        <is>
          <t>Archer</t>
        </is>
      </c>
      <c r="B8" s="3" t="inlineStr">
        <is>
          <t>Approved</t>
        </is>
      </c>
      <c r="C8" s="2" t="inlineStr">
        <is>
          <t>Far2</t>
        </is>
      </c>
      <c r="D8" s="3" t="inlineStr">
        <is>
          <t>Approved</t>
        </is>
      </c>
      <c r="E8" s="2" t="inlineStr">
        <is>
          <t>The archer reading the owner chose on 2026-10-07 (it reaches farther).</t>
        </is>
      </c>
      <c r="F8" s="2" t="inlineStr">
        <is>
          <t>Owner 2026-10-09: "merge far2" (being merged to main). Worth 3.39 ± 0.27 pawns played to the end, 3.22 ± 0.34 at depth 4. Captures 1.55× the average piece. On branch claude/archer-far, not merged. Waits for the owner to say when it goes on main.</t>
        </is>
      </c>
      <c r="G8" s="2" t="inlineStr">
        <is>
          <t>PlusDiagFwd2Clear, fwd2NoBack, fwd2NoSide</t>
        </is>
      </c>
      <c r="H8" s="4" t="inlineStr">
        <is>
          <t>Testing</t>
        </is>
      </c>
      <c r="I8" s="2" t="inlineStr">
        <is>
          <t>Lab shot sets between classic and plusDiagFwd2.</t>
        </is>
      </c>
      <c r="J8" s="2" t="inlineStr">
        <is>
          <t>Wait for measurement (owner 2026-10-04: "test and measure first"). They are probably not needed now that far2 is chosen. Unclear whether these runs are still planned.</t>
        </is>
      </c>
      <c r="K8" s="2" t="inlineStr">
        <is>
          <t>Over2</t>
        </is>
      </c>
      <c r="L8" s="5" t="inlineStr">
        <is>
          <t>Rejected</t>
        </is>
      </c>
      <c r="M8" s="2" t="inlineStr">
        <is>
          <t>Takes an enemy exactly 2 squares away (straight or forward diagonal) only over a piece.</t>
        </is>
      </c>
      <c r="N8" s="2" t="inlineStr">
        <is>
          <t>First approved, then held (2026-10-05, "option B"): worth only 0.83 ± 0.25 pawns.</t>
        </is>
      </c>
      <c r="O8" s="2" t="inlineStr">
        <is>
          <t>Over23</t>
        </is>
      </c>
      <c r="P8" s="5" t="inlineStr">
        <is>
          <t>Rejected</t>
        </is>
      </c>
      <c r="Q8" s="2" t="inlineStr">
        <is>
          <t>Like over2, at distance 2 or 3, over exactly one piece.</t>
        </is>
      </c>
      <c r="R8" s="2" t="inlineStr">
        <is>
          <t>Worth 3.0 ± 0.27 pawns; draws −8.3 points. Owner (2026-10-06): too cumbersome.</t>
        </is>
      </c>
      <c r="S8" s="2" t="inlineStr">
        <is>
          <t>PlusDiagFwd2</t>
        </is>
      </c>
      <c r="T8" s="6" t="inlineStr">
        <is>
          <t>Dropped</t>
        </is>
      </c>
      <c r="U8" s="2" t="inlineStr">
        <is>
          <t>Steps 1 square any way and shoots without moving: diagonal neighbours, 2 squares straight, and the 2 forward diagonals at distance 2, over any blockers. It can give check.</t>
        </is>
      </c>
      <c r="V8" s="2" t="inlineStr">
        <is>
          <t>Replaced by far2 (Owner 2026-10-09: "merge far2"). Kept as a lab reading. On main now (2026-09-17). Decisive +8.8 ± 3.8, draws −8.2 ± 3.7. Worth 5.05 ± 0.44 pawns (ARCHER_V 505). The owner chose far2 to replace it (see the next row).</t>
        </is>
      </c>
      <c r="W8" s="2" t="inlineStr">
        <is>
          <t>TASKS.md; docs/QUEUE.md (pv-A-af2na; pv-A-af2-vsR-d4); docs/QUEUE.md; docs/tasks-archive/2026-10.md; docs/RULES.md §3 §6.16; src/rules/rules.ts; docs/RULES.md §6.16; docs/RULES.md §6.19</t>
        </is>
      </c>
    </row>
    <row r="9">
      <c r="A9" s="2" t="inlineStr">
        <is>
          <t>Guard</t>
        </is>
      </c>
      <c r="B9" s="3" t="inlineStr">
        <is>
          <t>Approved</t>
        </is>
      </c>
      <c r="C9" s="2" t="inlineStr">
        <is>
          <t>Base</t>
        </is>
      </c>
      <c r="D9" s="3" t="inlineStr">
        <is>
          <t>Approved</t>
        </is>
      </c>
      <c r="E9" s="2" t="inlineStr">
        <is>
          <t>Steps 1 square any way onto empty squares only. It cannot take, and only a king can take it.</t>
        </is>
      </c>
      <c r="F9" s="2" t="inlineStr">
        <is>
          <t>One per army. Capturing guard (+54 Elo) rejected on identity grounds. guardStep=2 neutral and not adopted. Worth about 180–210 Elo below a Knight. kd-rand: next to the king it is worth +2.8 pawns in defence.</t>
        </is>
      </c>
      <c r="G9" s="2" t="inlineStr">
        <is>
          <t>Starts next to the king</t>
        </is>
      </c>
      <c r="H9" s="3" t="inlineStr">
        <is>
          <t>Approved</t>
        </is>
      </c>
      <c r="I9" s="2" t="inlineStr">
        <is>
          <t>The Guard starts on a square next to its king, wherever the king is in the random back rank.</t>
        </is>
      </c>
      <c r="J9" s="2" t="inlineStr">
        <is>
          <t>Owner 2026-10-09: approved. Being built. Beats b1 by +0.53 ± 0.14 pawns (depth 3), +0.54 ± 0.19 and +0.58 ± 0.14 (depth 4). Recommended. The owner has not decided.</t>
        </is>
      </c>
      <c r="K9" s="2" t="inlineStr">
        <is>
          <t>Morph questions</t>
        </is>
      </c>
      <c r="L9" s="3" t="inlineStr">
        <is>
          <t>Approved</t>
        </is>
      </c>
      <c r="M9" s="2" t="inlineStr">
        <is>
          <t>Open questions: can Morph make or use a guard, and can there be a second guard?</t>
        </is>
      </c>
      <c r="N9" s="2" t="inlineStr">
        <is>
          <t>Owner 2026-10-09: Morph can make a Guard; a second Guard: not yet; a second Beast from cards (Morph, then Salvation or Sacrifice): allowed ("allow it").</t>
        </is>
      </c>
      <c r="O9" s="2" t="inlineStr">
        <is>
          <t>Drop on any empty square</t>
        </is>
      </c>
      <c r="P9" s="4" t="inlineStr">
        <is>
          <t>Testing</t>
        </is>
      </c>
      <c r="Q9" s="2" t="inlineStr">
        <is>
          <t>The guard is dropped as a move on any empty square of the board.</t>
        </is>
      </c>
      <c r="R9" s="2" t="inlineStr">
        <is>
          <t>Owner 2026-10-09: "queue guard drop for testing anyway - i want the data". Being built; A/B run against the next-to-king start follows.</t>
        </is>
      </c>
      <c r="S9" s="2" t="inlineStr">
        <is>
          <t>Reserve (rank1 / rank12)</t>
        </is>
      </c>
      <c r="T9" s="5" t="inlineStr">
        <is>
          <t>Rejected</t>
        </is>
      </c>
      <c r="U9" s="2" t="inlineStr">
        <is>
          <t>The guard starts beside the board and is placed on an empty first-rank (or first-two-rank) square as a move.</t>
        </is>
      </c>
      <c r="V9" s="2" t="inlineStr">
        <is>
          <t>Only reading that passes criterion 5; worth unchanged. Owner (2026-10-06): no first-rank reserve.</t>
        </is>
      </c>
      <c r="W9" s="2" t="inlineStr">
        <is>
          <t>TASKS.md (Guard drop); TASKS.md (Morph and the Guard); docs/QUEUE.md (guard-king-p; -d4m; -d4b); docs/RULES.md §3 §6.9 §6.11; docs/RULES.md §6.9; docs/tasks-archive/2026-10.md</t>
        </is>
      </c>
    </row>
    <row r="10">
      <c r="A10" s="2" t="inlineStr">
        <is>
          <t>Maester</t>
        </is>
      </c>
      <c r="B10" s="3" t="inlineStr">
        <is>
          <t>Approved</t>
        </is>
      </c>
      <c r="C10" s="2" t="inlineStr">
        <is>
          <t>Base</t>
        </is>
      </c>
      <c r="D10" s="3" t="inlineStr">
        <is>
          <t>Approved</t>
        </is>
      </c>
      <c r="E10" s="2" t="inlineStr">
        <is>
          <t>Steps 1 square any way. It swaps with an adjacent friend, or with its own king at any distance when both are on the first rank.</t>
        </is>
      </c>
      <c r="F10" s="2" t="inlineStr">
        <is>
          <t>maesterSwapAny (3.12 pawns) measured free but not adopted. Other maester buffs (step 2, swap enemy) are lab only.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docs/RULES.md §3 §6.10</t>
        </is>
      </c>
    </row>
    <row r="11">
      <c r="A11" s="2" t="inlineStr">
        <is>
          <t>Beast</t>
        </is>
      </c>
      <c r="B11" s="3" t="inlineStr">
        <is>
          <t>Approved</t>
        </is>
      </c>
      <c r="C11" s="2" t="inlineStr">
        <is>
          <t>Base</t>
        </is>
      </c>
      <c r="D11" s="3" t="inlineStr">
        <is>
          <t>Approved</t>
        </is>
      </c>
      <c r="E11" s="2" t="inlineStr">
        <is>
          <t>Steps 1 square any way, takes on any adjacent square, and can keep taking in the same turn (never a king as a follow-up).</t>
        </is>
      </c>
      <c r="F11" s="2" t="inlineStr">
        <is>
          <t>Any-direction step (2026-09-13) and no blind spot (2026-09-17; 4.34 pawns). Diagonal readings halve its value (lab only). One beast per army (2026-10-04).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docs/RULES.md §3 §6.8 §6.17</t>
        </is>
      </c>
    </row>
    <row r="12">
      <c r="A12" s="2" t="inlineStr">
        <is>
          <t>Ogre</t>
        </is>
      </c>
      <c r="B12" s="3" t="inlineStr">
        <is>
          <t>Approved</t>
        </is>
      </c>
      <c r="C12" s="2" t="inlineStr">
        <is>
          <t>Base</t>
        </is>
      </c>
      <c r="D12" s="3" t="inlineStr">
        <is>
          <t>Approved</t>
        </is>
      </c>
      <c r="E12" s="2" t="inlineStr">
        <is>
          <t>Steps 1 square any way. It takes an adjacent enemy (not a guard), or pushes an adjacent non-king piece one square straight and follows it.</t>
        </is>
      </c>
      <c r="F12" s="2" t="inlineStr">
        <is>
          <t>Took the paladin's place in the pool (2026-09-24). ogreMode=push is the default; repel is a lab reading. Value 318.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docs/RULES.md §3 §6.18</t>
        </is>
      </c>
    </row>
    <row r="13">
      <c r="A13" s="2" t="inlineStr">
        <is>
          <t>Paladin</t>
        </is>
      </c>
      <c r="B13" s="3" t="inlineStr">
        <is>
          <t>Approved</t>
        </is>
      </c>
      <c r="C13" s="2" t="inlineStr">
        <is>
          <t>Base</t>
        </is>
      </c>
      <c r="D13" s="3" t="inlineStr">
        <is>
          <t>Approved</t>
        </is>
      </c>
      <c r="E13" s="2" t="inlineStr">
        <is>
          <t>Moves like a queen, jumps friends, never takes a king, and removes itself after taking anything but a pawn.</t>
        </is>
      </c>
      <c r="F13" s="2" t="inlineStr">
        <is>
          <t>Owner 2026-10-09: back in the random pool, approved reading (survives a pawn capture, 2.87 pawns). Being built. White scored about +6 points with it in 2026-09; the rules may be tweaked later. Out of the random pool since 2026-09-24. Still legal in custom setups, FEN and old promotion sets. Kamikaze 'nonPawn' shipped in v0.7.0 (2.87 pawns).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docs/RULES.md §3 §6.15 §6.18</t>
        </is>
      </c>
    </row>
    <row r="14">
      <c r="A14" s="2" t="inlineStr">
        <is>
          <t>Catapult</t>
        </is>
      </c>
      <c r="B14" s="6" t="inlineStr">
        <is>
          <t>Dropped</t>
        </is>
      </c>
      <c r="C14" s="2" t="inlineStr">
        <is>
          <t>Base</t>
        </is>
      </c>
      <c r="D14" s="6" t="inlineStr">
        <is>
          <t>Dropped</t>
        </is>
      </c>
      <c r="E14" s="2" t="inlineStr">
        <is>
          <t>Lab piece that lobs shots (outside the pool).</t>
        </is>
      </c>
      <c r="F14" s="2" t="inlineStr">
        <is>
          <t>Paused: both readings below 1.66 pawns, and it never fires in 38% of games.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docs/MATRIX.md</t>
        </is>
      </c>
    </row>
    <row r="15">
      <c r="A15" s="2" t="inlineStr">
        <is>
          <t>Reaver</t>
        </is>
      </c>
      <c r="B15" s="6" t="inlineStr">
        <is>
          <t>Dropped</t>
        </is>
      </c>
      <c r="C15" s="2" t="inlineStr">
        <is>
          <t>Base</t>
        </is>
      </c>
      <c r="D15" s="6" t="inlineStr">
        <is>
          <t>Dropped</t>
        </is>
      </c>
      <c r="E15" s="2" t="inlineStr">
        <is>
          <t>Lab piece outside the pool.</t>
        </is>
      </c>
      <c r="F15" s="2" t="inlineStr">
        <is>
          <t>Paused: the full step is overpowered; the orthogonal step (4.04 ± 0.56 pawns) does not hold its gain at depth 4.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docs/MATRIX.md</t>
        </is>
      </c>
    </row>
    <row r="16">
      <c r="A16" s="2" t="inlineStr">
        <is>
          <t>Templar</t>
        </is>
      </c>
      <c r="B16" s="5" t="inlineStr">
        <is>
          <t>Rejected</t>
        </is>
      </c>
      <c r="C16" s="2" t="inlineStr">
        <is>
          <t>Base</t>
        </is>
      </c>
      <c r="D16" s="5" t="inlineStr">
        <is>
          <t>Rejected</t>
        </is>
      </c>
      <c r="E16" s="2" t="inlineStr">
        <is>
          <t>Lab king-stepper piece outside the pool.</t>
        </is>
      </c>
      <c r="F16" s="2" t="inlineStr">
        <is>
          <t>Rejected on measurement: weak, draws +5.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docs/MATRIX.md</t>
        </is>
      </c>
    </row>
    <row r="17">
      <c r="A17" s="2" t="inlineStr">
        <is>
          <t>Squire</t>
        </is>
      </c>
      <c r="B17" s="6" t="inlineStr">
        <is>
          <t>Dropped</t>
        </is>
      </c>
      <c r="C17" s="2" t="inlineStr">
        <is>
          <t>Base</t>
        </is>
      </c>
      <c r="D17" s="6" t="inlineStr">
        <is>
          <t>Dropped</t>
        </is>
      </c>
      <c r="E17" s="2" t="inlineStr">
        <is>
          <t>Reserve piece from the recovered Cursor experiment.</t>
        </is>
      </c>
      <c r="F17" s="2" t="inlineStr">
        <is>
          <t>Archived. Not in src/.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docs/MATRIX.md</t>
        </is>
      </c>
    </row>
  </sheetData>
  <autoFilter ref="A1:W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40" customWidth="1" min="5" max="5"/>
    <col width="40" customWidth="1" min="6" max="6"/>
    <col width="24" customWidth="1" min="7" max="7"/>
    <col width="16" customWidth="1" min="8" max="8"/>
    <col width="40" customWidth="1" min="9" max="9"/>
    <col width="40" customWidth="1" min="10" max="10"/>
    <col width="24" customWidth="1" min="11" max="11"/>
    <col width="16" customWidth="1" min="12" max="12"/>
    <col width="40" customWidth="1" min="13" max="13"/>
    <col width="40" customWidth="1" min="14" max="14"/>
    <col width="24" customWidth="1" min="15" max="15"/>
    <col width="16" customWidth="1" min="16" max="16"/>
    <col width="40" customWidth="1" min="17" max="17"/>
    <col width="40" customWidth="1" min="18" max="18"/>
    <col width="40" customWidth="1" min="19" max="19"/>
  </cols>
  <sheetData>
    <row r="1">
      <c r="A1" s="1" t="inlineStr">
        <is>
          <t>Name</t>
        </is>
      </c>
      <c r="B1" s="1" t="inlineStr">
        <is>
          <t>Current status</t>
        </is>
      </c>
      <c r="C1" s="1" t="inlineStr">
        <is>
          <t>Version 1</t>
        </is>
      </c>
      <c r="D1" s="1" t="inlineStr">
        <is>
          <t>V1 status</t>
        </is>
      </c>
      <c r="E1" s="1" t="inlineStr">
        <is>
          <t>V1 what it does</t>
        </is>
      </c>
      <c r="F1" s="1" t="inlineStr">
        <is>
          <t>V1 notes / results</t>
        </is>
      </c>
      <c r="G1" s="1" t="inlineStr">
        <is>
          <t>Version 2</t>
        </is>
      </c>
      <c r="H1" s="1" t="inlineStr">
        <is>
          <t>V2 status</t>
        </is>
      </c>
      <c r="I1" s="1" t="inlineStr">
        <is>
          <t>V2 what it does</t>
        </is>
      </c>
      <c r="J1" s="1" t="inlineStr">
        <is>
          <t>V2 notes / results</t>
        </is>
      </c>
      <c r="K1" s="1" t="inlineStr">
        <is>
          <t>Version 3</t>
        </is>
      </c>
      <c r="L1" s="1" t="inlineStr">
        <is>
          <t>V3 status</t>
        </is>
      </c>
      <c r="M1" s="1" t="inlineStr">
        <is>
          <t>V3 what it does</t>
        </is>
      </c>
      <c r="N1" s="1" t="inlineStr">
        <is>
          <t>V3 notes / results</t>
        </is>
      </c>
      <c r="O1" s="1" t="inlineStr">
        <is>
          <t>Version 4</t>
        </is>
      </c>
      <c r="P1" s="1" t="inlineStr">
        <is>
          <t>V4 status</t>
        </is>
      </c>
      <c r="Q1" s="1" t="inlineStr">
        <is>
          <t>V4 what it does</t>
        </is>
      </c>
      <c r="R1" s="1" t="inlineStr">
        <is>
          <t>V4 notes / results</t>
        </is>
      </c>
      <c r="S1" s="1" t="inlineStr">
        <is>
          <t>Source</t>
        </is>
      </c>
    </row>
    <row r="2">
      <c r="A2" s="2" t="inlineStr">
        <is>
          <t>Card mode</t>
        </is>
      </c>
      <c r="B2" s="4" t="inlineStr">
        <is>
          <t>Testing</t>
        </is>
      </c>
      <c r="C2" s="2" t="inlineStr">
        <is>
          <t>Base</t>
        </is>
      </c>
      <c r="D2" s="4" t="inlineStr">
        <is>
          <t>Testing</t>
        </is>
      </c>
      <c r="E2" s="2" t="inlineStr">
        <is>
          <t>Each side starts with the same four random one-use cards from the deal.</t>
        </is>
      </c>
      <c r="F2" s="2" t="inlineStr">
        <is>
          <t>Lab only, not in the playable game. deal-d1: White 50.2% (Δ −0.2 ± 2.4), draws −10.6 ± 1.7. Holds at depth 4. Tested deal = deal-d1's 27 cards + MirrorB. deal-nosalv is done (no card off its interval); deal-nosalv2 and deal-d4k (full size) are running.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docs/research/cards-2026-10-03.md; docs/QUEUE.md</t>
        </is>
      </c>
    </row>
    <row r="3">
      <c r="A3" s="2" t="inlineStr">
        <is>
          <t>Freeze</t>
        </is>
      </c>
      <c r="B3" s="4" t="inlineStr">
        <is>
          <t>Testing</t>
        </is>
      </c>
      <c r="C3" s="2" t="inlineStr">
        <is>
          <t>Base</t>
        </is>
      </c>
      <c r="D3" s="4" t="inlineStr">
        <is>
          <t>Testing</t>
        </is>
      </c>
      <c r="E3" s="2" t="inlineStr">
        <is>
          <t>One enemy piece cannot move on the opponent's next turn; then you make your move.</t>
        </is>
      </c>
      <c r="F3" s="2" t="inlineStr">
        <is>
          <t>+1.15 pawns against no card (cards-d1). In the tested deal.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src/rules/rules.ts; docs/QUEUE.md</t>
        </is>
      </c>
    </row>
    <row r="4">
      <c r="A4" s="2" t="inlineStr">
        <is>
          <t>Ice Wall</t>
        </is>
      </c>
      <c r="B4" s="4" t="inlineStr">
        <is>
          <t>Testing</t>
        </is>
      </c>
      <c r="C4" s="2" t="inlineStr">
        <is>
          <t>Base</t>
        </is>
      </c>
      <c r="D4" s="4" t="inlineStr">
        <is>
          <t>Testing</t>
        </is>
      </c>
      <c r="E4" s="2" t="inlineStr">
        <is>
          <t>One of your pieces cannot be taken on the opponent's next turn; then you make your move.</t>
        </is>
      </c>
      <c r="F4" s="2" t="inlineStr">
        <is>
          <t>+0.55 pawns, at or below the 0.7 floor. In the tested deal.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docs/QUEUE.md (cards-d1)</t>
        </is>
      </c>
    </row>
    <row r="5">
      <c r="A5" s="2" t="inlineStr">
        <is>
          <t>Strike</t>
        </is>
      </c>
      <c r="B5" s="4" t="inlineStr">
        <is>
          <t>Testing</t>
        </is>
      </c>
      <c r="C5" s="2" t="inlineStr">
        <is>
          <t>Base</t>
        </is>
      </c>
      <c r="D5" s="4" t="inlineStr">
        <is>
          <t>Testing</t>
        </is>
      </c>
      <c r="E5" s="2" t="inlineStr">
        <is>
          <t>Move one of your pieces (not a pawn) as a queen, to an empty square.</t>
        </is>
      </c>
      <c r="F5" s="2" t="inlineStr">
        <is>
          <t>+1.55 pawns. In the tested deal.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docs/QUEUE.md (cards-d1)</t>
        </is>
      </c>
    </row>
    <row r="6">
      <c r="A6" s="2" t="inlineStr">
        <is>
          <t>Haste</t>
        </is>
      </c>
      <c r="B6" s="4" t="inlineStr">
        <is>
          <t>Testing</t>
        </is>
      </c>
      <c r="C6" s="2" t="inlineStr">
        <is>
          <t>Base</t>
        </is>
      </c>
      <c r="D6" s="4" t="inlineStr">
        <is>
          <t>Testing</t>
        </is>
      </c>
      <c r="E6" s="2" t="inlineStr">
        <is>
          <t>Move one piece twice in one turn, without taking.</t>
        </is>
      </c>
      <c r="F6" s="2" t="inlineStr">
        <is>
          <t>+2.59 pawns. In the tested deal.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docs/QUEUE.md (cards-d1)</t>
        </is>
      </c>
    </row>
    <row r="7">
      <c r="A7" s="2" t="inlineStr">
        <is>
          <t>Flight</t>
        </is>
      </c>
      <c r="B7" s="4" t="inlineStr">
        <is>
          <t>Testing</t>
        </is>
      </c>
      <c r="C7" s="2" t="inlineStr">
        <is>
          <t>Base</t>
        </is>
      </c>
      <c r="D7" s="4" t="inlineStr">
        <is>
          <t>Testing</t>
        </is>
      </c>
      <c r="E7" s="2" t="inlineStr">
        <is>
          <t>Move one of your pieces to any empty square in your own half.</t>
        </is>
      </c>
      <c r="F7" s="2" t="inlineStr">
        <is>
          <t>About +1.5 pawns. In the tested deal.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docs/QUEUE.md (cards-d1)</t>
        </is>
      </c>
    </row>
    <row r="8">
      <c r="A8" s="2" t="inlineStr">
        <is>
          <t>Sacrifice</t>
        </is>
      </c>
      <c r="B8" s="4" t="inlineStr">
        <is>
          <t>Testing</t>
        </is>
      </c>
      <c r="C8" s="2" t="inlineStr">
        <is>
          <t>Base</t>
        </is>
      </c>
      <c r="D8" s="4" t="inlineStr">
        <is>
          <t>Testing</t>
        </is>
      </c>
      <c r="E8" s="2" t="inlineStr">
        <is>
          <t>Swap one of your pawns with one of your captured pieces.</t>
        </is>
      </c>
      <c r="F8" s="2" t="inlineStr">
        <is>
          <t>+1.37 pawns. In the tested deal.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docs/QUEUE.md (cards-d1)</t>
        </is>
      </c>
    </row>
    <row r="9">
      <c r="A9" s="2" t="inlineStr">
        <is>
          <t>March</t>
        </is>
      </c>
      <c r="B9" s="7" t="inlineStr">
        <is>
          <t>Pending decision</t>
        </is>
      </c>
      <c r="C9" s="2" t="inlineStr">
        <is>
          <t>Base</t>
        </is>
      </c>
      <c r="D9" s="7" t="inlineStr">
        <is>
          <t>Pending decision</t>
        </is>
      </c>
      <c r="E9" s="2" t="inlineStr">
        <is>
          <t>Pawns may move two squares forward.</t>
        </is>
      </c>
      <c r="F9" s="2" t="inlineStr">
        <is>
          <t>+0.56 pawns, below the 0.7 floor. The owner has not decided whether to keep it.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TASKS.md (Card deal); docs/QUEUE.md</t>
        </is>
      </c>
    </row>
    <row r="10">
      <c r="A10" s="2" t="inlineStr">
        <is>
          <t>Leap</t>
        </is>
      </c>
      <c r="B10" s="4" t="inlineStr">
        <is>
          <t>Testing</t>
        </is>
      </c>
      <c r="C10" s="2" t="inlineStr">
        <is>
          <t>Base</t>
        </is>
      </c>
      <c r="D10" s="4" t="inlineStr">
        <is>
          <t>Testing</t>
        </is>
      </c>
      <c r="E10" s="2" t="inlineStr">
        <is>
          <t>Your pieces may jump over your own pawns.</t>
        </is>
      </c>
      <c r="F10" s="2" t="inlineStr">
        <is>
          <t>+0.79 pawns. In the tested deal.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docs/QUEUE.md (cards-d1)</t>
        </is>
      </c>
    </row>
    <row r="11">
      <c r="A11" s="2" t="inlineStr">
        <is>
          <t>Mimic</t>
        </is>
      </c>
      <c r="B11" s="4" t="inlineStr">
        <is>
          <t>Testing</t>
        </is>
      </c>
      <c r="C11" s="2" t="inlineStr">
        <is>
          <t>Base</t>
        </is>
      </c>
      <c r="D11" s="4" t="inlineStr">
        <is>
          <t>Testing</t>
        </is>
      </c>
      <c r="E11" s="2" t="inlineStr">
        <is>
          <t>A piece moves to an empty square the way another of your piece types moves.</t>
        </is>
      </c>
      <c r="F11" s="2" t="inlineStr">
        <is>
          <t>+1.29 pawns. In the tested deal. deal-d3m: +5.6 on White's score, then +2.7 pooled.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src/rules/rules.ts; docs/QUEUE.md</t>
        </is>
      </c>
    </row>
    <row r="12">
      <c r="A12" s="2" t="inlineStr">
        <is>
          <t>Vault</t>
        </is>
      </c>
      <c r="B12" s="4" t="inlineStr">
        <is>
          <t>Testing</t>
        </is>
      </c>
      <c r="C12" s="2" t="inlineStr">
        <is>
          <t>Base</t>
        </is>
      </c>
      <c r="D12" s="4" t="inlineStr">
        <is>
          <t>Testing</t>
        </is>
      </c>
      <c r="E12" s="2" t="inlineStr">
        <is>
          <t>A rook, bishop or queen passes over exactly one piece on its line.</t>
        </is>
      </c>
      <c r="F12" s="2" t="inlineStr">
        <is>
          <t>+1.45 pawns. In the tested deal.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src/rules/rules.ts; docs/QUEUE.md</t>
        </is>
      </c>
    </row>
    <row r="13">
      <c r="A13" s="2" t="inlineStr">
        <is>
          <t>Curse</t>
        </is>
      </c>
      <c r="B13" s="4" t="inlineStr">
        <is>
          <t>Testing</t>
        </is>
      </c>
      <c r="C13" s="2" t="inlineStr">
        <is>
          <t>Base</t>
        </is>
      </c>
      <c r="D13" s="4" t="inlineStr">
        <is>
          <t>Testing</t>
        </is>
      </c>
      <c r="E13" s="2" t="inlineStr">
        <is>
          <t>An enemy piece or pawn (not the king) steps one square onto an empty square.</t>
        </is>
      </c>
      <c r="F13" s="2" t="inlineStr">
        <is>
          <t>+0.31 pawns, below the floor. In the tested deal. No owner decision on it was found.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src/rules/rules.ts; docs/QUEUE.md</t>
        </is>
      </c>
    </row>
    <row r="14">
      <c r="A14" s="2" t="inlineStr">
        <is>
          <t>Sky Lift</t>
        </is>
      </c>
      <c r="B14" s="4" t="inlineStr">
        <is>
          <t>Testing</t>
        </is>
      </c>
      <c r="C14" s="2" t="inlineStr">
        <is>
          <t>Base</t>
        </is>
      </c>
      <c r="D14" s="4" t="inlineStr">
        <is>
          <t>Testing</t>
        </is>
      </c>
      <c r="E14" s="2" t="inlineStr">
        <is>
          <t>Two of your pieces of different types swap squares.</t>
        </is>
      </c>
      <c r="F14" s="2" t="inlineStr">
        <is>
          <t>About +1.5 pawns. In the tested deal. The owner keeps both Sky Lift and MorphS.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src/rules/rules.ts; docs/QUEUE.md</t>
        </is>
      </c>
    </row>
    <row r="15">
      <c r="A15" s="2" t="inlineStr">
        <is>
          <t>Salvation</t>
        </is>
      </c>
      <c r="B15" s="4" t="inlineStr">
        <is>
          <t>Testing</t>
        </is>
      </c>
      <c r="C15" s="2" t="inlineStr">
        <is>
          <t>Base</t>
        </is>
      </c>
      <c r="D15" s="4" t="inlineStr">
        <is>
          <t>Testing</t>
        </is>
      </c>
      <c r="E15" s="2" t="inlineStr">
        <is>
          <t>One of your captured pieces (not a pawn or guard) comes back to an empty square of your back rank.</t>
        </is>
      </c>
      <c r="F15" s="2" t="inlineStr">
        <is>
          <t>+1.10 pawns alone, but in the deal it helps Black: Δ White −5.7 ± 3.9, draws +3.2 ± 2.5. deal-nosalv (no Salvation) is done: no card off its interval. deal-nosalv2 is running.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src/rules/rules.ts; docs/QUEUE.md (deal-d3mx; deal-nosalv)</t>
        </is>
      </c>
    </row>
    <row r="16">
      <c r="A16" s="2" t="inlineStr">
        <is>
          <t>Rage</t>
        </is>
      </c>
      <c r="B16" s="8" t="inlineStr">
        <is>
          <t>Legendary</t>
        </is>
      </c>
      <c r="C16" s="2" t="inlineStr">
        <is>
          <t>Base</t>
        </is>
      </c>
      <c r="D16" s="8" t="inlineStr">
        <is>
          <t>Legendary</t>
        </is>
      </c>
      <c r="E16" s="2" t="inlineStr">
        <is>
          <t>One piece moves twice, and it may take on either move.</t>
        </is>
      </c>
      <c r="F16" s="2" t="inlineStr">
        <is>
          <t>+4.06 pawns (about 1.7 Hastes), the one overpowered card. Out of the normal deal. Card mode has a ticket for its legendary look.</t>
        </is>
      </c>
      <c r="G16" s="2" t="inlineStr">
        <is>
          <t>RageB</t>
        </is>
      </c>
      <c r="H16" s="5" t="inlineStr">
        <is>
          <t>Rejected</t>
        </is>
      </c>
      <c r="I16" s="2" t="inlineStr">
        <is>
          <t>Rage, but the second move must take.</t>
        </is>
      </c>
      <c r="J16" s="2" t="inlineStr">
        <is>
          <t>+3.97 pawns: not softer.</t>
        </is>
      </c>
      <c r="K16" s="2" t="inlineStr">
        <is>
          <t>Quiet / stopOnTake trims</t>
        </is>
      </c>
      <c r="L16" s="5" t="inlineStr">
        <is>
          <t>Rejected</t>
        </is>
      </c>
      <c r="M16" s="2" t="inlineStr">
        <is>
          <t>Rage trims: the second move may not take, or a take ends the turn.</t>
        </is>
      </c>
      <c r="N16" s="2" t="inlineStr">
        <is>
          <t>+4.01 ± 0.51 and +4.47 ± 0.54 pawns. Neither trim helps.</t>
        </is>
      </c>
      <c r="O16" s="2" t="inlineStr"/>
      <c r="P16" s="2" t="inlineStr"/>
      <c r="Q16" s="2" t="inlineStr"/>
      <c r="R16" s="2" t="inlineStr"/>
      <c r="S16" s="2" t="inlineStr">
        <is>
          <t>docs/QUEUE.md (cards-m5); docs/QUEUE.md (cards-m5); TASKS.md; docs/QUEUE.md (rage-q; rage-s)</t>
        </is>
      </c>
    </row>
    <row r="17">
      <c r="A17" s="2" t="inlineStr">
        <is>
          <t>Mirror</t>
        </is>
      </c>
      <c r="B17" s="4" t="inlineStr">
        <is>
          <t>Testing</t>
        </is>
      </c>
      <c r="C17" s="2" t="inlineStr">
        <is>
          <t>MirrorB</t>
        </is>
      </c>
      <c r="D17" s="4" t="inlineStr">
        <is>
          <t>Testing</t>
        </is>
      </c>
      <c r="E17" s="2" t="inlineStr">
        <is>
          <t>Play another card from your hand; that card stays in your hand.</t>
        </is>
      </c>
      <c r="F17" s="2" t="inlineStr">
        <is>
          <t>+2.22 pawns. The owner chose it (2026-10-07). In the tested deal (deal-d3m: −1.8 on White's score).</t>
        </is>
      </c>
      <c r="G17" s="2" t="inlineStr">
        <is>
          <t>Base</t>
        </is>
      </c>
      <c r="H17" s="6" t="inlineStr">
        <is>
          <t>Dropped</t>
        </is>
      </c>
      <c r="I17" s="2" t="inlineStr">
        <is>
          <t>Play the card the opponent played last.</t>
        </is>
      </c>
      <c r="J17" s="2" t="inlineStr">
        <is>
          <t>Worth about 0. Dropped by the owner (2026-10-07).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docs/QUEUE.md; docs/tasks-archive/2026-10.md; docs/tasks-archive/2026-10.md</t>
        </is>
      </c>
    </row>
    <row r="18">
      <c r="A18" s="2" t="inlineStr">
        <is>
          <t>Rescue</t>
        </is>
      </c>
      <c r="B18" s="6" t="inlineStr">
        <is>
          <t>Dropped</t>
        </is>
      </c>
      <c r="C18" s="2" t="inlineStr">
        <is>
          <t>Base</t>
        </is>
      </c>
      <c r="D18" s="6" t="inlineStr">
        <is>
          <t>Dropped</t>
        </is>
      </c>
      <c r="E18" s="2" t="inlineStr">
        <is>
          <t>Your Freeze, Ice Wall or Firewall lasts one more turn.</t>
        </is>
      </c>
      <c r="F18" s="2" t="inlineStr">
        <is>
          <t>+0.40 pawns, nothing measurable. As worded it can never be played. Dropped (2026-10-07).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docs/research/cards-2026-10-03.md</t>
        </is>
      </c>
    </row>
    <row r="19">
      <c r="A19" s="2" t="inlineStr">
        <is>
          <t>Firewall</t>
        </is>
      </c>
      <c r="B19" s="4" t="inlineStr">
        <is>
          <t>Testing</t>
        </is>
      </c>
      <c r="C19" s="2" t="inlineStr">
        <is>
          <t>Base</t>
        </is>
      </c>
      <c r="D19" s="4" t="inlineStr">
        <is>
          <t>Testing</t>
        </is>
      </c>
      <c r="E19" s="2" t="inlineStr">
        <is>
          <t>None of your pieces can be taken on the opponent's next turn; then you make your move.</t>
        </is>
      </c>
      <c r="F19" s="2" t="inlineStr">
        <is>
          <t>+2.21 pawns. In the tested deal.</t>
        </is>
      </c>
      <c r="G19" s="2" t="inlineStr">
        <is>
          <t>FirewallB</t>
        </is>
      </c>
      <c r="H19" s="4" t="inlineStr">
        <is>
          <t>Testing</t>
        </is>
      </c>
      <c r="I19" s="2" t="inlineStr">
        <is>
          <t>One of your pieces swaps squares with an adjacent enemy piece (no kings).</t>
        </is>
      </c>
      <c r="J19" s="2" t="inlineStr">
        <is>
          <t>+1.07 pawns. In the tested deal.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docs/QUEUE.md (cards-d1)</t>
        </is>
      </c>
    </row>
    <row r="20">
      <c r="A20" s="2" t="inlineStr">
        <is>
          <t>Earth Quake</t>
        </is>
      </c>
      <c r="B20" s="4" t="inlineStr">
        <is>
          <t>Testing</t>
        </is>
      </c>
      <c r="C20" s="2" t="inlineStr">
        <is>
          <t>Base</t>
        </is>
      </c>
      <c r="D20" s="4" t="inlineStr">
        <is>
          <t>Testing</t>
        </is>
      </c>
      <c r="E20" s="2" t="inlineStr">
        <is>
          <t>Pieces next to a chosen square (not kings) are pushed one square away.</t>
        </is>
      </c>
      <c r="F20" s="2" t="inlineStr">
        <is>
          <t>+0.77 pawns. In the tested deal.</t>
        </is>
      </c>
      <c r="G20" s="2" t="inlineStr">
        <is>
          <t>EarthQuakeB</t>
        </is>
      </c>
      <c r="H20" s="4" t="inlineStr">
        <is>
          <t>Testing</t>
        </is>
      </c>
      <c r="I20" s="2" t="inlineStr">
        <is>
          <t>Earth Quake, but the square must be next to one of your pieces.</t>
        </is>
      </c>
      <c r="J20" s="2" t="inlineStr">
        <is>
          <t>+0.85 pawns. In the tested deal.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docs/QUEUE.md (cards-d1)</t>
        </is>
      </c>
    </row>
    <row r="21">
      <c r="A21" s="2" t="inlineStr">
        <is>
          <t>Burn</t>
        </is>
      </c>
      <c r="B21" s="4" t="inlineStr">
        <is>
          <t>Testing</t>
        </is>
      </c>
      <c r="C21" s="2" t="inlineStr">
        <is>
          <t>Base</t>
        </is>
      </c>
      <c r="D21" s="4" t="inlineStr">
        <is>
          <t>Testing</t>
        </is>
      </c>
      <c r="E21" s="2" t="inlineStr">
        <is>
          <t>One of your pieces takes an enemy on d4, e4, d5 or e5 as a queen would.</t>
        </is>
      </c>
      <c r="F21" s="2" t="inlineStr">
        <is>
          <t>+1.86 pawns. In the tested deal.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docs/QUEUE.md (cards-d1)</t>
        </is>
      </c>
    </row>
    <row r="22">
      <c r="A22" s="2" t="inlineStr">
        <is>
          <t>Fire Starter</t>
        </is>
      </c>
      <c r="B22" s="4" t="inlineStr">
        <is>
          <t>Testing</t>
        </is>
      </c>
      <c r="C22" s="2" t="inlineStr">
        <is>
          <t>Base</t>
        </is>
      </c>
      <c r="D22" s="4" t="inlineStr">
        <is>
          <t>Testing</t>
        </is>
      </c>
      <c r="E22" s="2" t="inlineStr">
        <is>
          <t>One of your pieces takes an enemy on the enemy back rank as a queen would.</t>
        </is>
      </c>
      <c r="F22" s="2" t="inlineStr">
        <is>
          <t>+1.08 pawns. In the tested deal.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docs/QUEUE.md (cards-d1)</t>
        </is>
      </c>
    </row>
    <row r="23">
      <c r="A23" s="2" t="inlineStr">
        <is>
          <t>Control</t>
        </is>
      </c>
      <c r="B23" s="4" t="inlineStr">
        <is>
          <t>Testing</t>
        </is>
      </c>
      <c r="C23" s="2" t="inlineStr">
        <is>
          <t>Base</t>
        </is>
      </c>
      <c r="D23" s="4" t="inlineStr">
        <is>
          <t>Testing</t>
        </is>
      </c>
      <c r="E23" s="2" t="inlineStr">
        <is>
          <t>One of your pieces moves and takes like a friendly piece next to it.</t>
        </is>
      </c>
      <c r="F23" s="2" t="inlineStr">
        <is>
          <t>+2.22 pawns. In the tested deal.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>
        <is>
          <t>docs/QUEUE.md (cards-d1)</t>
        </is>
      </c>
    </row>
    <row r="24">
      <c r="A24" s="2" t="inlineStr">
        <is>
          <t>Growth</t>
        </is>
      </c>
      <c r="B24" s="4" t="inlineStr">
        <is>
          <t>Testing</t>
        </is>
      </c>
      <c r="C24" s="2" t="inlineStr">
        <is>
          <t>Base</t>
        </is>
      </c>
      <c r="D24" s="4" t="inlineStr">
        <is>
          <t>Testing</t>
        </is>
      </c>
      <c r="E24" s="2" t="inlineStr">
        <is>
          <t>As your move, draw the next card from your pile.</t>
        </is>
      </c>
      <c r="F24" s="2" t="inlineStr">
        <is>
          <t>+1.53 pawns. In the tested deal.</t>
        </is>
      </c>
      <c r="G24" s="2" t="inlineStr">
        <is>
          <t>GrowthB</t>
        </is>
      </c>
      <c r="H24" s="4" t="inlineStr">
        <is>
          <t>Testing</t>
        </is>
      </c>
      <c r="I24" s="2" t="inlineStr">
        <is>
          <t>Draw the next card, then make your move.</t>
        </is>
      </c>
      <c r="J24" s="2" t="inlineStr">
        <is>
          <t>+1.09 pawns. In the tested deal. It raises draws in the deal (+3.6 ± 2.6); deal-nosalv: −5.4 ± 5.4, at the edge of its interval.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docs/QUEUE.md (cards-d1); docs/QUEUE.md (deal-d1; deal-nosalv)</t>
        </is>
      </c>
    </row>
    <row r="25">
      <c r="A25" s="2" t="inlineStr">
        <is>
          <t>Rally</t>
        </is>
      </c>
      <c r="B25" s="4" t="inlineStr">
        <is>
          <t>Testing</t>
        </is>
      </c>
      <c r="C25" s="2" t="inlineStr">
        <is>
          <t>Base</t>
        </is>
      </c>
      <c r="D25" s="4" t="inlineStr">
        <is>
          <t>Testing</t>
        </is>
      </c>
      <c r="E25" s="2" t="inlineStr">
        <is>
          <t>One piece moves, then a different piece may move; neither move takes.</t>
        </is>
      </c>
      <c r="F25" s="2" t="inlineStr">
        <is>
          <t>+2.90 pawns (rally-r1: +2.60). In the tested deal. Deal effect is unstable: +4.2 (d3mx), −3.6 (nosalv).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>
        <is>
          <t>docs/QUEUE.md</t>
        </is>
      </c>
    </row>
    <row r="26">
      <c r="A26" s="2" t="inlineStr">
        <is>
          <t>Morph</t>
        </is>
      </c>
      <c r="B26" s="4" t="inlineStr">
        <is>
          <t>Testing</t>
        </is>
      </c>
      <c r="C26" s="2" t="inlineStr">
        <is>
          <t>MorphP</t>
        </is>
      </c>
      <c r="D26" s="4" t="inlineStr">
        <is>
          <t>Testing</t>
        </is>
      </c>
      <c r="E26" s="2" t="inlineStr">
        <is>
          <t>One of your pawns becomes a knight or a bishop.</t>
        </is>
      </c>
      <c r="F26" s="2" t="inlineStr">
        <is>
          <t>+2.3 to +2.65 pawns. The owner chose it for card mode (2026-10-06). In the tested deal.</t>
        </is>
      </c>
      <c r="G26" s="2" t="inlineStr">
        <is>
          <t>Base</t>
        </is>
      </c>
      <c r="H26" s="5" t="inlineStr">
        <is>
          <t>Rejected</t>
        </is>
      </c>
      <c r="I26" s="2" t="inlineStr">
        <is>
          <t>A piece (not a pawn or king) becomes another pool type where it stands.</t>
        </is>
      </c>
      <c r="J26" s="2" t="inlineStr">
        <is>
          <t>98% against no card: a free queen on move 3. Kept in the lab only; the owner chose MorphP.</t>
        </is>
      </c>
      <c r="K26" s="2" t="inlineStr">
        <is>
          <t>MorphB</t>
        </is>
      </c>
      <c r="L26" s="5" t="inlineStr">
        <is>
          <t>Rejected</t>
        </is>
      </c>
      <c r="M26" s="2" t="inlineStr">
        <is>
          <t>Morph, but never into a queen.</t>
        </is>
      </c>
      <c r="N26" s="2" t="inlineStr">
        <is>
          <t>+3.3 pawns, above the 3-pawn ceiling. Lab only.</t>
        </is>
      </c>
      <c r="O26" s="2" t="inlineStr">
        <is>
          <t>MorphS</t>
        </is>
      </c>
      <c r="P26" s="6" t="inlineStr">
        <is>
          <t>Dropped</t>
        </is>
      </c>
      <c r="Q26" s="2" t="inlineStr">
        <is>
          <t>Two of your pieces of different types swap places.</t>
        </is>
      </c>
      <c r="R26" s="2" t="inlineStr">
        <is>
          <t>Same moves as Sky Lift (+1.0 pawn). Stays in the lab, out of the deal.</t>
        </is>
      </c>
      <c r="S26" s="2" t="inlineStr">
        <is>
          <t>docs/QUEUE.md (morph-a1); docs/RULES.md §5; docs/QUEUE.md (morph-a1); docs/tasks-archive/2026-10.md; docs/tasks-archive/2026-10.md; docs/QUEUE.md</t>
        </is>
      </c>
    </row>
    <row r="27">
      <c r="A27" s="2" t="inlineStr">
        <is>
          <t>Spawn</t>
        </is>
      </c>
      <c r="B27" s="4" t="inlineStr">
        <is>
          <t>Testing</t>
        </is>
      </c>
      <c r="C27" s="2" t="inlineStr">
        <is>
          <t>Spawn2</t>
        </is>
      </c>
      <c r="D27" s="4" t="inlineStr">
        <is>
          <t>Testing</t>
        </is>
      </c>
      <c r="E27" s="2" t="inlineStr">
        <is>
          <t>Two new pawns appear on your pawn start rank.</t>
        </is>
      </c>
      <c r="F27" s="2" t="inlineStr">
        <is>
          <t>+0.88 pawns. The owner chose it as the start-rank card. In the tested deal (deal-nosalv: +5.3 ± 5.3, at the edge).</t>
        </is>
      </c>
      <c r="G27" s="2" t="inlineStr">
        <is>
          <t>SpawnK</t>
        </is>
      </c>
      <c r="H27" s="4" t="inlineStr">
        <is>
          <t>Testing</t>
        </is>
      </c>
      <c r="I27" s="2" t="inlineStr">
        <is>
          <t>A new pawn appears next to your king (never on rank 1 or 8).</t>
        </is>
      </c>
      <c r="J27" s="2" t="inlineStr">
        <is>
          <t>+0.66 pawns (at the floor). The owner keeps it. In the tested deal.</t>
        </is>
      </c>
      <c r="K27" s="2" t="inlineStr">
        <is>
          <t>SpawnK2</t>
        </is>
      </c>
      <c r="L27" s="4" t="inlineStr">
        <is>
          <t>Testing</t>
        </is>
      </c>
      <c r="M27" s="2" t="inlineStr">
        <is>
          <t>Two new pawns appear next to your king.</t>
        </is>
      </c>
      <c r="N27" s="2" t="inlineStr">
        <is>
          <t>+1.18 pawns. The owner says "stays in the lab", but it is in the deal-d1 pool. Unclear whether it is meant to be in the deal.</t>
        </is>
      </c>
      <c r="O27" s="2" t="inlineStr">
        <is>
          <t>Base</t>
        </is>
      </c>
      <c r="P27" s="6" t="inlineStr">
        <is>
          <t>Dropped</t>
        </is>
      </c>
      <c r="Q27" s="2" t="inlineStr">
        <is>
          <t>A new pawn appears on an empty square of your pawn start rank.</t>
        </is>
      </c>
      <c r="R27" s="2" t="inlineStr">
        <is>
          <t>+0.36 pawns, too weak. Set aside by the owner (2026-10-06).</t>
        </is>
      </c>
      <c r="S27" s="2" t="inlineStr">
        <is>
          <t>docs/QUEUE.md; docs/tasks-archive/2026-10.md; docs/tasks-archive/2026-10.md; docs/QUEUE.md</t>
        </is>
      </c>
    </row>
  </sheetData>
  <autoFilter ref="A1:S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4" customWidth="1" min="4" max="4"/>
    <col width="16" customWidth="1" min="5" max="5"/>
    <col width="40" customWidth="1" min="6" max="6"/>
    <col width="40" customWidth="1" min="7" max="7"/>
    <col width="24" customWidth="1" min="8" max="8"/>
    <col width="16" customWidth="1" min="9" max="9"/>
    <col width="40" customWidth="1" min="10" max="10"/>
    <col width="40" customWidth="1" min="11" max="11"/>
    <col width="24" customWidth="1" min="12" max="12"/>
    <col width="16" customWidth="1" min="13" max="13"/>
    <col width="40" customWidth="1" min="14" max="14"/>
    <col width="40" customWidth="1" min="15" max="15"/>
    <col width="24" customWidth="1" min="16" max="16"/>
    <col width="16" customWidth="1" min="17" max="17"/>
    <col width="40" customWidth="1" min="18" max="18"/>
    <col width="40" customWidth="1" min="19" max="19"/>
    <col width="24" customWidth="1" min="20" max="20"/>
    <col width="16" customWidth="1" min="21" max="21"/>
    <col width="40" customWidth="1" min="22" max="22"/>
    <col width="40" customWidth="1" min="23" max="23"/>
    <col width="24" customWidth="1" min="24" max="24"/>
    <col width="16" customWidth="1" min="25" max="25"/>
    <col width="40" customWidth="1" min="26" max="26"/>
    <col width="40" customWidth="1" min="27" max="27"/>
    <col width="24" customWidth="1" min="28" max="28"/>
    <col width="16" customWidth="1" min="29" max="29"/>
    <col width="40" customWidth="1" min="30" max="30"/>
    <col width="40" customWidth="1" min="31" max="31"/>
    <col width="24" customWidth="1" min="32" max="32"/>
    <col width="16" customWidth="1" min="33" max="33"/>
    <col width="40" customWidth="1" min="34" max="34"/>
    <col width="40" customWidth="1" min="35" max="35"/>
    <col width="40" customWidth="1" min="36" max="36"/>
  </cols>
  <sheetData>
    <row r="1">
      <c r="A1" s="1" t="inlineStr">
        <is>
          <t>King</t>
        </is>
      </c>
      <c r="B1" s="1" t="inlineStr">
        <is>
          <t>Power</t>
        </is>
      </c>
      <c r="C1" s="1" t="inlineStr">
        <is>
          <t>Current status</t>
        </is>
      </c>
      <c r="D1" s="1" t="inlineStr">
        <is>
          <t>Version 1</t>
        </is>
      </c>
      <c r="E1" s="1" t="inlineStr">
        <is>
          <t>V1 status</t>
        </is>
      </c>
      <c r="F1" s="1" t="inlineStr">
        <is>
          <t>V1 what it does</t>
        </is>
      </c>
      <c r="G1" s="1" t="inlineStr">
        <is>
          <t>V1 notes / results</t>
        </is>
      </c>
      <c r="H1" s="1" t="inlineStr">
        <is>
          <t>Version 2</t>
        </is>
      </c>
      <c r="I1" s="1" t="inlineStr">
        <is>
          <t>V2 status</t>
        </is>
      </c>
      <c r="J1" s="1" t="inlineStr">
        <is>
          <t>V2 what it does</t>
        </is>
      </c>
      <c r="K1" s="1" t="inlineStr">
        <is>
          <t>V2 notes / results</t>
        </is>
      </c>
      <c r="L1" s="1" t="inlineStr">
        <is>
          <t>Version 3</t>
        </is>
      </c>
      <c r="M1" s="1" t="inlineStr">
        <is>
          <t>V3 status</t>
        </is>
      </c>
      <c r="N1" s="1" t="inlineStr">
        <is>
          <t>V3 what it does</t>
        </is>
      </c>
      <c r="O1" s="1" t="inlineStr">
        <is>
          <t>V3 notes / results</t>
        </is>
      </c>
      <c r="P1" s="1" t="inlineStr">
        <is>
          <t>Version 4</t>
        </is>
      </c>
      <c r="Q1" s="1" t="inlineStr">
        <is>
          <t>V4 status</t>
        </is>
      </c>
      <c r="R1" s="1" t="inlineStr">
        <is>
          <t>V4 what it does</t>
        </is>
      </c>
      <c r="S1" s="1" t="inlineStr">
        <is>
          <t>V4 notes / results</t>
        </is>
      </c>
      <c r="T1" s="1" t="inlineStr">
        <is>
          <t>Version 5</t>
        </is>
      </c>
      <c r="U1" s="1" t="inlineStr">
        <is>
          <t>V5 status</t>
        </is>
      </c>
      <c r="V1" s="1" t="inlineStr">
        <is>
          <t>V5 what it does</t>
        </is>
      </c>
      <c r="W1" s="1" t="inlineStr">
        <is>
          <t>V5 notes / results</t>
        </is>
      </c>
      <c r="X1" s="1" t="inlineStr">
        <is>
          <t>Version 6</t>
        </is>
      </c>
      <c r="Y1" s="1" t="inlineStr">
        <is>
          <t>V6 status</t>
        </is>
      </c>
      <c r="Z1" s="1" t="inlineStr">
        <is>
          <t>V6 what it does</t>
        </is>
      </c>
      <c r="AA1" s="1" t="inlineStr">
        <is>
          <t>V6 notes / results</t>
        </is>
      </c>
      <c r="AB1" s="1" t="inlineStr">
        <is>
          <t>Version 7</t>
        </is>
      </c>
      <c r="AC1" s="1" t="inlineStr">
        <is>
          <t>V7 status</t>
        </is>
      </c>
      <c r="AD1" s="1" t="inlineStr">
        <is>
          <t>V7 what it does</t>
        </is>
      </c>
      <c r="AE1" s="1" t="inlineStr">
        <is>
          <t>V7 notes / results</t>
        </is>
      </c>
      <c r="AF1" s="1" t="inlineStr">
        <is>
          <t>Version 8</t>
        </is>
      </c>
      <c r="AG1" s="1" t="inlineStr">
        <is>
          <t>V8 status</t>
        </is>
      </c>
      <c r="AH1" s="1" t="inlineStr">
        <is>
          <t>V8 what it does</t>
        </is>
      </c>
      <c r="AI1" s="1" t="inlineStr">
        <is>
          <t>V8 notes / results</t>
        </is>
      </c>
      <c r="AJ1" s="1" t="inlineStr">
        <is>
          <t>Source</t>
        </is>
      </c>
    </row>
    <row r="2">
      <c r="A2" s="9" t="inlineStr">
        <is>
          <t>Frost</t>
        </is>
      </c>
      <c r="B2" s="10" t="inlineStr">
        <is>
          <t>Freeze</t>
        </is>
      </c>
      <c r="C2" s="3" t="inlineStr">
        <is>
          <t>Approved</t>
        </is>
      </c>
      <c r="D2" s="2" t="inlineStr">
        <is>
          <t>As released</t>
        </is>
      </c>
      <c r="E2" s="3" t="inlineStr">
        <is>
          <t>Approved</t>
        </is>
      </c>
      <c r="F2" s="2" t="inlineStr">
        <is>
          <t>Once a game, one enemy piece cannot move on the opponent's next turn; then you make your move.</t>
        </is>
      </c>
      <c r="G2" s="2" t="inlineStr">
        <is>
          <t>Balanced reading (markFree, freezeUses 1). Printed: 2 uses, the mark is the whole turn.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inlineStr">
        <is>
          <t>docs/RULES.md §4; src/rules/rules.ts POWERS_BALANCED</t>
        </is>
      </c>
    </row>
    <row r="3">
      <c r="A3" s="9" t="inlineStr"/>
      <c r="B3" s="10" t="inlineStr">
        <is>
          <t>Ice Wall</t>
        </is>
      </c>
      <c r="C3" s="3" t="inlineStr">
        <is>
          <t>Approved</t>
        </is>
      </c>
      <c r="D3" s="2" t="inlineStr">
        <is>
          <t>As released</t>
        </is>
      </c>
      <c r="E3" s="3" t="inlineStr">
        <is>
          <t>Approved</t>
        </is>
      </c>
      <c r="F3" s="2" t="inlineStr">
        <is>
          <t>Twice a game, one of your pieces cannot be taken on the opponent's next turn; then you make your move.</t>
        </is>
      </c>
      <c r="G3" s="2" t="inlineStr">
        <is>
          <t>Balanced reading (markFree).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inlineStr">
        <is>
          <t>docs/RULES.md §4</t>
        </is>
      </c>
    </row>
    <row r="4">
      <c r="A4" s="9" t="inlineStr">
        <is>
          <t>Flame</t>
        </is>
      </c>
      <c r="B4" s="10" t="inlineStr">
        <is>
          <t>Strike</t>
        </is>
      </c>
      <c r="C4" s="3" t="inlineStr">
        <is>
          <t>Approved</t>
        </is>
      </c>
      <c r="D4" s="2" t="inlineStr">
        <is>
          <t>As released</t>
        </is>
      </c>
      <c r="E4" s="3" t="inlineStr">
        <is>
          <t>Approved</t>
        </is>
      </c>
      <c r="F4" s="2" t="inlineStr">
        <is>
          <t>Once, move one piece (not a pawn) as a queen to an empty square.</t>
        </is>
      </c>
      <c r="G4" s="2" t="inlineStr">
        <is>
          <t>Balanced reading (no pawns; no taking).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inlineStr">
        <is>
          <t>docs/RULES.md §4</t>
        </is>
      </c>
    </row>
    <row r="5">
      <c r="A5" s="9" t="inlineStr"/>
      <c r="B5" s="10" t="inlineStr">
        <is>
          <t>Haste</t>
        </is>
      </c>
      <c r="C5" s="3" t="inlineStr">
        <is>
          <t>Approved</t>
        </is>
      </c>
      <c r="D5" s="2" t="inlineStr">
        <is>
          <t>As released</t>
        </is>
      </c>
      <c r="E5" s="3" t="inlineStr">
        <is>
          <t>Approved</t>
        </is>
      </c>
      <c r="F5" s="2" t="inlineStr">
        <is>
          <t>Once, move one piece twice in a turn; neither move takes.</t>
        </is>
      </c>
      <c r="G5" s="2" t="inlineStr">
        <is>
          <t>K18 58.3% ± 3.3 (high). "Not before move 10" had no effect. Owner (2026-10-06): stays as it is.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docs/RULES.md §4; docs/QUEUE.md</t>
        </is>
      </c>
    </row>
    <row r="6">
      <c r="A6" s="9" t="inlineStr">
        <is>
          <t>Stratus</t>
        </is>
      </c>
      <c r="B6" s="10" t="inlineStr">
        <is>
          <t>Flight</t>
        </is>
      </c>
      <c r="C6" s="3" t="inlineStr">
        <is>
          <t>Approved</t>
        </is>
      </c>
      <c r="D6" s="2" t="inlineStr">
        <is>
          <t>As released</t>
        </is>
      </c>
      <c r="E6" s="3" t="inlineStr">
        <is>
          <t>Approved</t>
        </is>
      </c>
      <c r="F6" s="2" t="inlineStr">
        <is>
          <t>Once, move one piece to any empty square in your own half.</t>
        </is>
      </c>
      <c r="G6" s="2" t="inlineStr">
        <is>
          <t>As printed. K18 46.6 ± 3.1 (low on its own interval only).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inlineStr">
        <is>
          <t>docs/RULES.md §4</t>
        </is>
      </c>
    </row>
    <row r="7">
      <c r="A7" s="9" t="inlineStr"/>
      <c r="B7" s="10" t="inlineStr">
        <is>
          <t>Sacrifice</t>
        </is>
      </c>
      <c r="C7" s="3" t="inlineStr">
        <is>
          <t>Approved</t>
        </is>
      </c>
      <c r="D7" s="2" t="inlineStr">
        <is>
          <t>As released</t>
        </is>
      </c>
      <c r="E7" s="3" t="inlineStr">
        <is>
          <t>Approved</t>
        </is>
      </c>
      <c r="F7" s="2" t="inlineStr">
        <is>
          <t>Once, swap one of your pawns with one of your captured pieces.</t>
        </is>
      </c>
      <c r="G7" s="2" t="inlineStr">
        <is>
          <t>As printed.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inlineStr">
        <is>
          <t>docs/RULES.md §4</t>
        </is>
      </c>
    </row>
    <row r="8">
      <c r="A8" s="9" t="inlineStr">
        <is>
          <t>Mud</t>
        </is>
      </c>
      <c r="B8" s="10" t="inlineStr">
        <is>
          <t>March</t>
        </is>
      </c>
      <c r="C8" s="3" t="inlineStr">
        <is>
          <t>Approved</t>
        </is>
      </c>
      <c r="D8" s="2" t="inlineStr">
        <is>
          <t>As released</t>
        </is>
      </c>
      <c r="E8" s="3" t="inlineStr">
        <is>
          <t>Approved</t>
        </is>
      </c>
      <c r="F8" s="2" t="inlineStr">
        <is>
          <t>Pawns may always move two squares forward.</t>
        </is>
      </c>
      <c r="G8" s="2" t="inlineStr">
        <is>
          <t>Balanced reading: always on (marchUses 0). Printed: 3 uses.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inlineStr">
        <is>
          <t>docs/RULES.md §4</t>
        </is>
      </c>
    </row>
    <row r="9">
      <c r="A9" s="9" t="inlineStr"/>
      <c r="B9" s="10" t="inlineStr">
        <is>
          <t>Leap</t>
        </is>
      </c>
      <c r="C9" s="3" t="inlineStr">
        <is>
          <t>Approved</t>
        </is>
      </c>
      <c r="D9" s="2" t="inlineStr">
        <is>
          <t>As released</t>
        </is>
      </c>
      <c r="E9" s="3" t="inlineStr">
        <is>
          <t>Approved</t>
        </is>
      </c>
      <c r="F9" s="2" t="inlineStr">
        <is>
          <t>Three times, your pieces may jump over your own pawns.</t>
        </is>
      </c>
      <c r="G9" s="2" t="inlineStr">
        <is>
          <t>As printed.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inlineStr">
        <is>
          <t>docs/RULES.md §4</t>
        </is>
      </c>
    </row>
    <row r="10">
      <c r="A10" s="9" t="inlineStr">
        <is>
          <t>Spirit</t>
        </is>
      </c>
      <c r="B10" s="10" t="inlineStr">
        <is>
          <t>Holy Light</t>
        </is>
      </c>
      <c r="C10" s="3" t="inlineStr">
        <is>
          <t>Approved</t>
        </is>
      </c>
      <c r="D10" s="2" t="inlineStr">
        <is>
          <t>As released</t>
        </is>
      </c>
      <c r="E10" s="3" t="inlineStr">
        <is>
          <t>Approved</t>
        </is>
      </c>
      <c r="F10" s="2" t="inlineStr">
        <is>
          <t>The king may take pawns, and no piece beside, in front of or behind it can be taken.</t>
        </is>
      </c>
      <c r="G10" s="2" t="inlineStr">
        <is>
          <t>Shelter added in round 6: 43% → 53%. Sheltering all eight neighbours overshot to 64%.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inlineStr">
        <is>
          <t>docs/RULES.md §4</t>
        </is>
      </c>
    </row>
    <row r="11">
      <c r="A11" s="9" t="inlineStr"/>
      <c r="B11" s="10" t="inlineStr">
        <is>
          <t>Mercy</t>
        </is>
      </c>
      <c r="C11" s="3" t="inlineStr">
        <is>
          <t>Approved</t>
        </is>
      </c>
      <c r="D11" s="2" t="inlineStr">
        <is>
          <t>As released</t>
        </is>
      </c>
      <c r="E11" s="3" t="inlineStr">
        <is>
          <t>Approved</t>
        </is>
      </c>
      <c r="F11" s="2" t="inlineStr">
        <is>
          <t>The king moves 1 or 2 squares and jumps friends; it may take pawns; pieces next to it can be taken only by pawns.</t>
        </is>
      </c>
      <c r="G11" s="2" t="inlineStr">
        <is>
          <t>Reading M2 (owner 2026-10-03): about 56% → 50%.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inlineStr">
        <is>
          <t>docs/RULES.md §4</t>
        </is>
      </c>
    </row>
    <row r="12">
      <c r="A12" s="9" t="inlineStr">
        <is>
          <t>Shadow</t>
        </is>
      </c>
      <c r="B12" s="10" t="inlineStr">
        <is>
          <t>Death Touch</t>
        </is>
      </c>
      <c r="C12" s="3" t="inlineStr">
        <is>
          <t>Approved</t>
        </is>
      </c>
      <c r="D12" s="2" t="inlineStr">
        <is>
          <t>T2 (no sideways reach)</t>
        </is>
      </c>
      <c r="E12" s="3" t="inlineStr">
        <is>
          <t>Approved</t>
        </is>
      </c>
      <c r="F12" s="2" t="inlineStr">
        <is>
          <t>The reach goes only forward and back.</t>
        </is>
      </c>
      <c r="G12" s="2" t="inlineStr">
        <is>
          <t>Owner 2026-10-09: "go with T2 for death touch" (being built). 49.3% d3, 51.1% d4: centred. The owner dislikes the wording.</t>
        </is>
      </c>
      <c r="H12" s="2" t="inlineStr">
        <is>
          <t>Never backward</t>
        </is>
      </c>
      <c r="I12" s="5" t="inlineStr">
        <is>
          <t>Rejected</t>
        </is>
      </c>
      <c r="J12" s="2" t="inlineStr">
        <is>
          <t>The reach never goes backward.</t>
        </is>
      </c>
      <c r="K12" s="2" t="inlineStr">
        <is>
          <t>54.0% d3. Not chosen (owner chose T2).</t>
        </is>
      </c>
      <c r="L12" s="2" t="inlineStr">
        <is>
          <t>Never backward + takes pieces only</t>
        </is>
      </c>
      <c r="M12" s="5" t="inlineStr">
        <is>
          <t>Rejected</t>
        </is>
      </c>
      <c r="N12" s="2" t="inlineStr">
        <is>
          <t>The reach never goes backward, and it takes only pieces (not pawns).</t>
        </is>
      </c>
      <c r="O12" s="2" t="inlineStr">
        <is>
          <t>51.9% d3, 54.25% ± 0.9 d4. Not chosen (owner chose T2).</t>
        </is>
      </c>
      <c r="P12" s="2" t="inlineStr">
        <is>
          <t>T3 (reach takes pieces only)</t>
        </is>
      </c>
      <c r="Q12" s="5" t="inlineStr">
        <is>
          <t>Rejected</t>
        </is>
      </c>
      <c r="R12" s="2" t="inlineStr">
        <is>
          <t>The reach takes only pieces.</t>
        </is>
      </c>
      <c r="S12" s="2" t="inlineStr">
        <is>
          <t>53.2% d3, 55.6% d4. Not chosen (owner chose T2).</t>
        </is>
      </c>
      <c r="T12" s="2" t="inlineStr">
        <is>
          <t>Next to it only (T5)</t>
        </is>
      </c>
      <c r="U12" s="5" t="inlineStr">
        <is>
          <t>Rejected</t>
        </is>
      </c>
      <c r="V12" s="2" t="inlineStr">
        <is>
          <t>As printed: it takes only adjacent enemies.</t>
        </is>
      </c>
      <c r="W12" s="2" t="inlineStr">
        <is>
          <t>41.7%: too weak.</t>
        </is>
      </c>
      <c r="X12" s="2" t="inlineStr">
        <is>
          <t>Next to it + takes by moving (T5m)</t>
        </is>
      </c>
      <c r="Y12" s="5" t="inlineStr">
        <is>
          <t>Rejected</t>
        </is>
      </c>
      <c r="Z12" s="2" t="inlineStr">
        <is>
          <t>Adjacent only, and the king may also take by moving.</t>
        </is>
      </c>
      <c r="AA12" s="2" t="inlineStr">
        <is>
          <t>42.5%: too weak.</t>
        </is>
      </c>
      <c r="AB12" s="2" t="inlineStr">
        <is>
          <t>Diagonal reach</t>
        </is>
      </c>
      <c r="AC12" s="5" t="inlineStr">
        <is>
          <t>Rejected</t>
        </is>
      </c>
      <c r="AD12" s="2" t="inlineStr">
        <is>
          <t>The reach also goes diagonally.</t>
        </is>
      </c>
      <c r="AE12" s="2" t="inlineStr">
        <is>
          <t>67.2%: far too strong.</t>
        </is>
      </c>
      <c r="AF12" s="2" t="inlineStr">
        <is>
          <t>As released</t>
        </is>
      </c>
      <c r="AG12" s="6" t="inlineStr">
        <is>
          <t>Dropped</t>
        </is>
      </c>
      <c r="AH12" s="2" t="inlineStr">
        <is>
          <t>The king takes adjacent enemies without moving, and also two squares straight (forward, back, sideways) over an empty square.</t>
        </is>
      </c>
      <c r="AI12" s="2" t="inlineStr">
        <is>
          <t>Released reading, replaced by T2 (owner 2026-10-09). As released: 55.4% (d3), 57.3% (d4); K18 55.1 ± 2.9. Earlier the owner kept it as it is (2026-10-03). Trims are being judged (rows below). No choice yet.</t>
        </is>
      </c>
      <c r="AJ12" s="2" t="inlineStr">
        <is>
          <t>docs/QUEUE.md (dt-diag); docs/QUEUE.md (dt-nb); docs/QUEUE.md (dt-nbp; dt-nbp-d4/-d4b); docs/QUEUE.md (dt-t2; dt-t2-d4); docs/QUEUE.md (dt-t3); docs/QUEUE.md (dt-t5); docs/QUEUE.md (dt-t5m); docs/RULES.md §4; docs/QUEUE.md (dt-*)</t>
        </is>
      </c>
    </row>
    <row r="13">
      <c r="A13" s="9" t="inlineStr"/>
      <c r="B13" s="10" t="inlineStr">
        <is>
          <t>Darkness</t>
        </is>
      </c>
      <c r="C13" s="3" t="inlineStr">
        <is>
          <t>Approved</t>
        </is>
      </c>
      <c r="D13" s="2" t="inlineStr">
        <is>
          <t>As released</t>
        </is>
      </c>
      <c r="E13" s="3" t="inlineStr">
        <is>
          <t>Approved</t>
        </is>
      </c>
      <c r="F13" s="2" t="inlineStr">
        <is>
          <t>Pawns may also step diagonally and take only straight ahead; the king may step two squares straight over an empty square.</t>
        </is>
      </c>
      <c r="G13" s="2" t="inlineStr">
        <is>
          <t>King step chosen 2026-10-04: 44% → 48%. Lab only: safe step, taking step, pawn armor, D1 shelter.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inlineStr">
        <is>
          <t>docs/RULES.md §4</t>
        </is>
      </c>
    </row>
  </sheetData>
  <autoFilter ref="A1:AJ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40" customWidth="1" min="4" max="4"/>
    <col width="40" customWidth="1" min="5" max="5"/>
  </cols>
  <sheetData>
    <row r="1">
      <c r="A1" s="1" t="inlineStr">
        <is>
          <t>Name</t>
        </is>
      </c>
      <c r="B1" s="1" t="inlineStr">
        <is>
          <t>Status</t>
        </is>
      </c>
      <c r="C1" s="1" t="inlineStr">
        <is>
          <t>What it does</t>
        </is>
      </c>
      <c r="D1" s="1" t="inlineStr">
        <is>
          <t>Notes</t>
        </is>
      </c>
      <c r="E1" s="1" t="inlineStr">
        <is>
          <t>Source</t>
        </is>
      </c>
    </row>
    <row r="2">
      <c r="A2" s="2" t="inlineStr">
        <is>
          <t>Random back rank (Chess960-style)</t>
        </is>
      </c>
      <c r="B2" s="3" t="inlineStr">
        <is>
          <t>Approved</t>
        </is>
      </c>
      <c r="C2" s="2" t="inlineStr">
        <is>
          <t>The back rank is drawn from QOLRRBBNNAAGMMS, with one Paladin in the pool.</t>
        </is>
      </c>
      <c r="D2" s="2" t="inlineStr">
        <is>
          <t>Current pool: src/rules/setup.ts POOL. Paladin and Ogre are built.</t>
        </is>
      </c>
      <c r="E2" s="2" t="inlineStr">
        <is>
          <t>docs/RULES.md §2 §6.18</t>
        </is>
      </c>
    </row>
    <row r="3">
      <c r="A3" s="2" t="inlineStr">
        <is>
          <t>Bishops on opposite colours</t>
        </is>
      </c>
      <c r="B3" s="3" t="inlineStr">
        <is>
          <t>Approved</t>
        </is>
      </c>
      <c r="C3" s="2" t="inlineStr">
        <is>
          <t>If both bishops are drawn, they start on opposite colours.</t>
        </is>
      </c>
      <c r="D3" s="2" t="inlineStr">
        <is>
          <t>Decided 2026-09-13.</t>
        </is>
      </c>
      <c r="E3" s="2" t="inlineStr">
        <is>
          <t>docs/RULES.md §6.1</t>
        </is>
      </c>
    </row>
    <row r="4">
      <c r="A4" s="2" t="inlineStr">
        <is>
          <t>One guard per army</t>
        </is>
      </c>
      <c r="B4" s="3" t="inlineStr">
        <is>
          <t>Approved</t>
        </is>
      </c>
      <c r="C4" s="2" t="inlineStr">
        <is>
          <t>An army has at most one guard.</t>
        </is>
      </c>
      <c r="D4" s="2" t="inlineStr">
        <is>
          <t>Decided 2026-09-13.</t>
        </is>
      </c>
      <c r="E4" s="2" t="inlineStr">
        <is>
          <t>docs/RULES.md §6.11</t>
        </is>
      </c>
    </row>
    <row r="5" ht="126" customHeight="1">
      <c r="A5" s="2" t="inlineStr">
        <is>
          <t>One beast per army</t>
        </is>
      </c>
      <c r="B5" s="3" t="inlineStr">
        <is>
          <t>Approved</t>
        </is>
      </c>
      <c r="C5" s="2" t="inlineStr">
        <is>
          <t>Each army starts with at most one Beast. Morph cannot create a Beast while that side has one. Salvation or Sacrifice may return a captured Beast even if that gives the side a second Beast.</t>
        </is>
      </c>
      <c r="D5" s="2" t="inlineStr">
        <is>
          <t>Owner 2026-10-04: no second Beast. Owner 2026-10-09: a second Beast may return through Salvation or Sacrifice.</t>
        </is>
      </c>
      <c r="E5" s="2" t="inlineStr">
        <is>
          <t>docs/RULES.md (end)</t>
        </is>
      </c>
    </row>
    <row r="6">
      <c r="A6" s="2" t="inlineStr">
        <is>
          <t>Castling</t>
        </is>
      </c>
      <c r="B6" s="5" t="inlineStr">
        <is>
          <t>Rejected</t>
        </is>
      </c>
      <c r="C6" s="2" t="inlineStr">
        <is>
          <t>No castling.</t>
        </is>
      </c>
      <c r="D6" s="2" t="inlineStr">
        <is>
          <t>The maester–king swap takes its place.</t>
        </is>
      </c>
      <c r="E6" s="2" t="inlineStr">
        <is>
          <t>docs/RULES.md §1</t>
        </is>
      </c>
    </row>
    <row r="7">
      <c r="A7" s="2" t="inlineStr">
        <is>
          <t>En passant</t>
        </is>
      </c>
      <c r="B7" s="5" t="inlineStr">
        <is>
          <t>Rejected</t>
        </is>
      </c>
      <c r="C7" s="2" t="inlineStr">
        <is>
          <t>No en passant.</t>
        </is>
      </c>
      <c r="D7" s="2" t="inlineStr">
        <is>
          <t>Optional in the 2017 rules; off.</t>
        </is>
      </c>
      <c r="E7" s="2" t="inlineStr">
        <is>
          <t>docs/RULES.md §1</t>
        </is>
      </c>
    </row>
    <row r="8">
      <c r="A8" s="2" t="inlineStr">
        <is>
          <t>Promotion set</t>
        </is>
      </c>
      <c r="B8" s="3" t="inlineStr">
        <is>
          <t>Approved</t>
        </is>
      </c>
      <c r="C8" s="2" t="inlineStr">
        <is>
          <t>A pawn promotes to Q, R, B or N.</t>
        </is>
      </c>
      <c r="D8" s="2" t="inlineStr">
        <is>
          <t>Fairy promotion is null on every metric; lab only.</t>
        </is>
      </c>
      <c r="E8" s="2" t="inlineStr">
        <is>
          <t>docs/RULES.md §6.13</t>
        </is>
      </c>
    </row>
    <row r="9">
      <c r="A9" s="2" t="inlineStr">
        <is>
          <t>50-move draw</t>
        </is>
      </c>
      <c r="B9" s="3" t="inlineStr">
        <is>
          <t>Approved</t>
        </is>
      </c>
      <c r="C9" s="2" t="inlineStr">
        <is>
          <t>A game is a draw after 100 plies with no capture or pawn move.</t>
        </is>
      </c>
      <c r="D9" s="2" t="inlineStr">
        <is>
          <t>A spawn does not reset the clock; a MorphP does.</t>
        </is>
      </c>
      <c r="E9" s="2" t="inlineStr">
        <is>
          <t>docs/RULES.md §1 §6.4</t>
        </is>
      </c>
    </row>
    <row r="10">
      <c r="A10" s="2" t="inlineStr">
        <is>
          <t>Threefold repetition</t>
        </is>
      </c>
      <c r="B10" s="3" t="inlineStr">
        <is>
          <t>Approved</t>
        </is>
      </c>
      <c r="C10" s="2" t="inlineStr">
        <is>
          <t>The third time the same position comes back is a draw.</t>
        </is>
      </c>
      <c r="D10" s="2" t="inlineStr">
        <is>
          <t>The key includes the side to move and the spent-Strike state.</t>
        </is>
      </c>
      <c r="E10" s="2" t="inlineStr">
        <is>
          <t>docs/RULES.md §1</t>
        </is>
      </c>
    </row>
    <row r="11">
      <c r="A11" s="2" t="inlineStr">
        <is>
          <t>Insufficient material</t>
        </is>
      </c>
      <c r="B11" s="3" t="inlineStr">
        <is>
          <t>Approved</t>
        </is>
      </c>
      <c r="C11" s="2" t="inlineStr">
        <is>
          <t>A position that nobody can win is a draw.</t>
        </is>
      </c>
      <c r="D11" s="2" t="inlineStr">
        <is>
          <t>Conservative engine check; a live Strike prevents this draw.</t>
        </is>
      </c>
      <c r="E11" s="2" t="inlineStr">
        <is>
          <t>docs/RULES.md §1</t>
        </is>
      </c>
    </row>
    <row r="12">
      <c r="A12" s="2" t="inlineStr">
        <is>
          <t>Check / checkmate / stalemate</t>
        </is>
      </c>
      <c r="B12" s="3" t="inlineStr">
        <is>
          <t>Approved</t>
        </is>
      </c>
      <c r="C12" s="2" t="inlineStr">
        <is>
          <t>As in chess; every piece's capture pattern gives check.</t>
        </is>
      </c>
      <c r="D12" s="2" t="inlineStr">
        <is>
          <t>An archer checks through blockers; a paladin never checks.</t>
        </is>
      </c>
      <c r="E12" s="2" t="inlineStr">
        <is>
          <t>docs/RULES.md §1 §3</t>
        </is>
      </c>
    </row>
    <row r="13">
      <c r="A13" s="2" t="inlineStr">
        <is>
          <t>First move</t>
        </is>
      </c>
      <c r="B13" s="3" t="inlineStr">
        <is>
          <t>Approved</t>
        </is>
      </c>
      <c r="C13" s="2" t="inlineStr">
        <is>
          <t>White moves first, with no compensation for Black.</t>
        </is>
      </c>
      <c r="D13" s="2" t="inlineStr">
        <is>
          <t>Black's double first turn: White 0.533 → 0.472 (overshoots). Rejected 2026-09-14; a lab toggle.</t>
        </is>
      </c>
      <c r="E13" s="2" t="inlineStr">
        <is>
          <t>docs/RULES.md §6.12 §6.14</t>
        </is>
      </c>
    </row>
    <row r="14">
      <c r="A14" s="2" t="inlineStr">
        <is>
          <t>Maester swap and king safety</t>
        </is>
      </c>
      <c r="B14" s="3" t="inlineStr">
        <is>
          <t>Approved</t>
        </is>
      </c>
      <c r="C14" s="2" t="inlineStr">
        <is>
          <t>A maester–king swap is illegal if the king ends in check.</t>
        </is>
      </c>
      <c r="D14" s="2" t="inlineStr">
        <is>
          <t>Decided 2026-09-13.</t>
        </is>
      </c>
      <c r="E14" s="2" t="inlineStr">
        <is>
          <t>docs/RULES.md §6.7</t>
        </is>
      </c>
    </row>
    <row r="15">
      <c r="A15" s="2" t="inlineStr">
        <is>
          <t>Kings' powers mode</t>
        </is>
      </c>
      <c r="B15" s="3" t="inlineStr">
        <is>
          <t>Approved</t>
        </is>
      </c>
      <c r="C15" s="2" t="inlineStr">
        <is>
          <t>Each player may pick one king power before the game; "No power" is the default.</t>
        </is>
      </c>
      <c r="D15" s="2" t="inlineStr">
        <is>
          <t>Balanced readings are official (2026-10-02). K18: 10 of 12 inside 50 ± 4.</t>
        </is>
      </c>
      <c r="E15" s="2" t="inlineStr">
        <is>
          <t>docs/RULES.md §4</t>
        </is>
      </c>
    </row>
    <row r="16">
      <c r="A16" s="2" t="inlineStr">
        <is>
          <t>Power use counts</t>
        </is>
      </c>
      <c r="B16" s="3" t="inlineStr">
        <is>
          <t>Approved</t>
        </is>
      </c>
      <c r="C16" s="2" t="inlineStr">
        <is>
          <t>Spendable powers keep the rulebook's per-game uses as plain counters (balanced readings change some).</t>
        </is>
      </c>
      <c r="D16" s="2" t="inlineStr">
        <is>
          <t>No tokens or action points.</t>
        </is>
      </c>
      <c r="E16" s="2" t="inlineStr">
        <is>
          <t>docs/RULES.md §6.5</t>
        </is>
      </c>
    </row>
    <row r="17">
      <c r="A17" s="2" t="inlineStr">
        <is>
          <t>Card mode</t>
        </is>
      </c>
      <c r="B17" s="4" t="inlineStr">
        <is>
          <t>Testing</t>
        </is>
      </c>
      <c r="C17" s="2" t="inlineStr">
        <is>
          <t>Each side plays the same hand of one-use cards.</t>
        </is>
      </c>
      <c r="D17" s="2" t="inlineStr">
        <is>
          <t>Lab only. Next: coins by the king, MorphP, and the legendary look for Rage.</t>
        </is>
      </c>
      <c r="E17" s="2" t="inlineStr">
        <is>
          <t>TASKS.md; docs/research/cards-2026-10-03.md</t>
        </is>
      </c>
    </row>
    <row r="18" ht="78" customHeight="1">
      <c r="A18" s="2" t="inlineStr">
        <is>
          <t>Hand size</t>
        </is>
      </c>
      <c r="B18" s="3" t="inlineStr">
        <is>
          <t>Approved</t>
        </is>
      </c>
      <c r="C18" s="2" t="inlineStr">
        <is>
          <t>Four starting cards per side.</t>
        </is>
      </c>
      <c r="D18" s="2" t="inlineStr">
        <is>
          <t>Owner 2026-10-03: six. Owner 2026-10-08: more cards means fewer draws; the question is closed. Draws at d4: none 29.7%, 2 cards 17.5, 3 15.5, 4 12.6, 6 11.0. Owner 2026-10-09: four starting cards.</t>
        </is>
      </c>
      <c r="E18" s="2" t="inlineStr">
        <is>
          <t>docs/tasks-archive/2026-10.md; docs/QUEUE.md</t>
        </is>
      </c>
    </row>
    <row r="19">
      <c r="A19" s="2" t="inlineStr">
        <is>
          <t>Deal pool</t>
        </is>
      </c>
      <c r="B19" s="7" t="inlineStr">
        <is>
          <t>Pending decision</t>
        </is>
      </c>
      <c r="C19" s="2" t="inlineStr">
        <is>
          <t>The cards the starting hand is dealt from.</t>
        </is>
      </c>
      <c r="D19" s="2" t="inlineStr">
        <is>
          <t>Tested: deal-d1's 27 + MirrorB (Mirror, Rescue, Rage out). Open: March, Salvation (deal-nosalv done; deal-nosalv2 and deal-d4k running), and which cards finally go in.</t>
        </is>
      </c>
      <c r="E19" s="2" t="inlineStr">
        <is>
          <t>TASKS.md; docs/QUEUE.md</t>
        </is>
      </c>
    </row>
    <row r="20">
      <c r="A20" s="2" t="inlineStr">
        <is>
          <t>Guard start square</t>
        </is>
      </c>
      <c r="B20" s="3" t="inlineStr">
        <is>
          <t>Approved</t>
        </is>
      </c>
      <c r="C20" s="2" t="inlineStr">
        <is>
          <t>The Guard starts next to its king, wherever the king is.</t>
        </is>
      </c>
      <c r="D20" s="2" t="inlineStr">
        <is>
          <t>Owner 2026-10-09: approved. Being built. +0.53 to +0.58 pawns over b1.</t>
        </is>
      </c>
      <c r="E20" s="2" t="inlineStr">
        <is>
          <t>docs/QUEUE.md</t>
        </is>
      </c>
    </row>
    <row r="21">
      <c r="A21" s="2" t="inlineStr">
        <is>
          <t>Turn countdown</t>
        </is>
      </c>
      <c r="B21" s="7" t="inlineStr">
        <is>
          <t>Pending decision</t>
        </is>
      </c>
      <c r="C21" s="2" t="inlineStr">
        <is>
          <t>A countdown on each turn.</t>
        </is>
      </c>
      <c r="D21" s="2" t="inlineStr">
        <is>
          <t>On branch claude/turn-countdown (83f442f), not merged. Waits for the owner's yes on the screenshots.</t>
        </is>
      </c>
      <c r="E21" s="2" t="inlineStr">
        <is>
          <t>TASKS.md</t>
        </is>
      </c>
    </row>
    <row r="22">
      <c r="A22" s="2" t="inlineStr">
        <is>
          <t>Arrange mode</t>
        </is>
      </c>
      <c r="B22" s="7" t="inlineStr">
        <is>
          <t>Pending decision</t>
        </is>
      </c>
      <c r="C22" s="2" t="inlineStr">
        <is>
          <t>Players arrange their own back rank.</t>
        </is>
      </c>
      <c r="D22" s="2" t="inlineStr">
        <is>
          <t>On branch claude/arrange-mode, not merged. Waits for the owner. Details are not in the docs I read.</t>
        </is>
      </c>
      <c r="E22" s="2" t="inlineStr">
        <is>
          <t>git branch list</t>
        </is>
      </c>
    </row>
    <row r="23">
      <c r="A23" s="2" t="inlineStr">
        <is>
          <t>Piece balance criteria</t>
        </is>
      </c>
      <c r="B23" s="3" t="inlineStr">
        <is>
          <t>Approved</t>
        </is>
      </c>
      <c r="C23" s="2" t="inlineStr">
        <is>
          <t>Six criteria for every pool piece (worth, captures, moves, role, moved, draws/balance).</t>
        </is>
      </c>
      <c r="D23" s="2" t="inlineStr">
        <is>
          <t>Owner 2026-10-03: adopted. Open: criterion 4 as written or 4b.</t>
        </is>
      </c>
      <c r="E23" s="2" t="inlineStr">
        <is>
          <t>docs/research/piece-balance-criteria-2026-10-03.md; TASKS.md</t>
        </is>
      </c>
    </row>
    <row r="24">
      <c r="A24" s="2" t="inlineStr">
        <is>
          <t>?rules=2017 / ?rules=2021 presets</t>
        </is>
      </c>
      <c r="B24" s="3" t="inlineStr">
        <is>
          <t>Approved</t>
        </is>
      </c>
      <c r="C24" s="2" t="inlineStr">
        <is>
          <t>URL presets that play the 2017 rulebook or the 2021 archer and beast.</t>
        </is>
      </c>
      <c r="D24" s="2" t="inlineStr">
        <is>
          <t>Kings' powers as printed under these presets.</t>
        </is>
      </c>
      <c r="E24" s="2" t="inlineStr">
        <is>
          <t>docs/RULES.md §6.8 §4</t>
        </is>
      </c>
    </row>
  </sheetData>
  <autoFilter ref="A1:E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1" t="inlineStr">
        <is>
          <t>Key: ● in the game · ◐ lab reading · ○ designed, not built · — no. Column B: design a new piece with the drop-downs. Source: docs/MATRIX.md A.0–A.1, with the owner's 2026-10-09 decisions.</t>
        </is>
      </c>
    </row>
    <row r="3">
      <c r="A3" s="14" t="inlineStr">
        <is>
          <t>Ability</t>
        </is>
      </c>
      <c r="B3" s="15" t="inlineStr">
        <is>
          <t>NEW PIECE</t>
        </is>
      </c>
      <c r="C3" s="14" t="inlineStr">
        <is>
          <t>Pawn</t>
        </is>
      </c>
      <c r="D3" s="14" t="inlineStr">
        <is>
          <t>Knight</t>
        </is>
      </c>
      <c r="E3" s="14" t="inlineStr">
        <is>
          <t>Bishop</t>
        </is>
      </c>
      <c r="F3" s="14" t="inlineStr">
        <is>
          <t>Rook</t>
        </is>
      </c>
      <c r="G3" s="14" t="inlineStr">
        <is>
          <t>Queen</t>
        </is>
      </c>
      <c r="H3" s="14" t="inlineStr">
        <is>
          <t>King</t>
        </is>
      </c>
      <c r="I3" s="14" t="inlineStr">
        <is>
          <t>Archer</t>
        </is>
      </c>
      <c r="J3" s="14" t="inlineStr">
        <is>
          <t>Paladin</t>
        </is>
      </c>
      <c r="K3" s="14" t="inlineStr">
        <is>
          <t>Guard</t>
        </is>
      </c>
      <c r="L3" s="14" t="inlineStr">
        <is>
          <t>Maester</t>
        </is>
      </c>
      <c r="M3" s="14" t="inlineStr">
        <is>
          <t>Beast</t>
        </is>
      </c>
      <c r="N3" s="14" t="inlineStr">
        <is>
          <t>Ogre</t>
        </is>
      </c>
      <c r="O3" s="14" t="inlineStr">
        <is>
          <t>Catapult</t>
        </is>
      </c>
    </row>
    <row r="4">
      <c r="A4" s="13" t="inlineStr">
        <is>
          <t>Move</t>
        </is>
      </c>
      <c r="B4" s="16" t="inlineStr"/>
      <c r="C4" s="2" t="inlineStr">
        <is>
          <t>forward 1</t>
        </is>
      </c>
      <c r="D4" s="2" t="inlineStr">
        <is>
          <t>leap 2+1</t>
        </is>
      </c>
      <c r="E4" s="2" t="inlineStr">
        <is>
          <t>diagonal slide</t>
        </is>
      </c>
      <c r="F4" s="2" t="inlineStr">
        <is>
          <t>straight slide</t>
        </is>
      </c>
      <c r="G4" s="2" t="inlineStr">
        <is>
          <t>slide</t>
        </is>
      </c>
      <c r="H4" s="2" t="inlineStr">
        <is>
          <t>step 1</t>
        </is>
      </c>
      <c r="I4" s="2" t="inlineStr">
        <is>
          <t>step 1</t>
        </is>
      </c>
      <c r="J4" s="2" t="inlineStr">
        <is>
          <t>slide like a queen, jumps friends — back in the random pool (owner 2026-10-09)</t>
        </is>
      </c>
      <c r="K4" s="2" t="inlineStr">
        <is>
          <t>step 1 ◐ step 2</t>
        </is>
      </c>
      <c r="L4" s="2" t="inlineStr">
        <is>
          <t>step 1 ◐ step 2</t>
        </is>
      </c>
      <c r="M4" s="2" t="inlineStr">
        <is>
          <t>step 1 ◐ forward only / diagonals</t>
        </is>
      </c>
      <c r="N4" s="2" t="inlineStr">
        <is>
          <t>step 1</t>
        </is>
      </c>
      <c r="O4" s="2" t="inlineStr">
        <is>
          <t>straight slide, empty squares only</t>
        </is>
      </c>
    </row>
    <row r="5">
      <c r="A5" s="13" t="inlineStr">
        <is>
          <t>Capture</t>
        </is>
      </c>
      <c r="B5" s="16" t="inlineStr"/>
      <c r="C5" s="2" t="inlineStr">
        <is>
          <t>diagonal forward 1</t>
        </is>
      </c>
      <c r="D5" s="2">
        <f> move</f>
        <v/>
      </c>
      <c r="E5" s="2">
        <f> move</f>
        <v/>
      </c>
      <c r="F5" s="2">
        <f> move</f>
        <v/>
      </c>
      <c r="G5" s="2">
        <f> move</f>
        <v/>
      </c>
      <c r="H5" s="2">
        <f> move</f>
        <v/>
      </c>
      <c r="I5" s="2" t="inlineStr">
        <is>
          <t>● far2 (owner 2026-10-09): shot without moving, only 2 squares away: 2 straight (any way) or 2 forward-diagonal, blockers ignored. ◐ plusDiagFwd2 (old default: also the diagonal neighbours), over2, over23 are lab readings</t>
        </is>
      </c>
      <c r="J5" s="2">
        <f> move; dies after taking a non-pawn</f>
        <v/>
      </c>
      <c r="K5" s="2" t="inlineStr">
        <is>
          <t>none</t>
        </is>
      </c>
      <c r="L5" s="2">
        <f> move (adjacent)</f>
        <v/>
      </c>
      <c r="M5" s="2" t="inlineStr">
        <is>
          <t>every neighbour (blind spot removed 2026-09-17; captures +29%, beast 4.34 ± 0.42 pawns, `BEAST_V` 434) ◐ the 7-neighbour blind spot, forward diagonals only, four diagonals; chains</t>
        </is>
      </c>
      <c r="N5" s="2">
        <f> move, a guard excepted</f>
        <v/>
      </c>
      <c r="O5" s="2" t="inlineStr">
        <is>
          <t>lob over one enemy screen along a rank or file, first piece beyond it ◐ `catapultCapture` stay / land</t>
        </is>
      </c>
    </row>
    <row r="6">
      <c r="A6" s="13" t="inlineStr">
        <is>
          <t>1a Arriving — home rank only</t>
        </is>
      </c>
      <c r="B6" s="16" t="inlineStr"/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</row>
    <row r="7">
      <c r="A7" s="13" t="inlineStr">
        <is>
          <t>1b Arriving — friendly half only</t>
        </is>
      </c>
      <c r="B7" s="16" t="inlineStr"/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</row>
    <row r="8">
      <c r="A8" s="13" t="inlineStr">
        <is>
          <t>2 Shield — cannot be taken by X</t>
        </is>
      </c>
      <c r="B8" s="16" t="inlineStr"/>
      <c r="C8" s="2" t="inlineStr">
        <is>
          <t>—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● never taken (mated)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● by all but a king ◐ off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</row>
    <row r="9">
      <c r="A9" s="13" t="inlineStr">
        <is>
          <t>3 Handicap — cannot take X</t>
        </is>
      </c>
      <c r="B9" s="16" t="inlineStr"/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◐ a king</t>
        </is>
      </c>
      <c r="J9" s="2" t="inlineStr">
        <is>
          <t>● a king ◐ off</t>
        </is>
      </c>
      <c r="K9" s="2" t="inlineStr">
        <is>
          <t>● anything ◐ pawns / any</t>
        </is>
      </c>
      <c r="L9" s="2" t="inlineStr">
        <is>
          <t>—</t>
        </is>
      </c>
      <c r="M9" s="2" t="inlineStr">
        <is>
          <t>● a king as a chain step</t>
        </is>
      </c>
      <c r="N9" s="2" t="inlineStr">
        <is>
          <t>—</t>
        </is>
      </c>
      <c r="O9" s="2" t="inlineStr">
        <is>
          <t>—</t>
        </is>
      </c>
    </row>
    <row r="10">
      <c r="A10" s="13" t="inlineStr">
        <is>
          <t>4a Movement — special first move</t>
        </is>
      </c>
      <c r="B10" s="16" t="inlineStr"/>
      <c r="C10" s="2" t="inlineStr">
        <is>
          <t>● 2 forward from home rank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◐ 2 from home rank, slide or leap (Q1)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</row>
    <row r="11">
      <c r="A11" s="13" t="inlineStr">
        <is>
          <t>4b Taking = moving?</t>
        </is>
      </c>
      <c r="B11" s="16" t="inlineStr"/>
      <c r="C11" s="2" t="inlineStr">
        <is>
          <t>differs</t>
        </is>
      </c>
      <c r="D11" s="2" t="inlineStr">
        <is>
          <t>same</t>
        </is>
      </c>
      <c r="E11" s="2" t="inlineStr">
        <is>
          <t>same</t>
        </is>
      </c>
      <c r="F11" s="2" t="inlineStr">
        <is>
          <t>same</t>
        </is>
      </c>
      <c r="G11" s="2" t="inlineStr">
        <is>
          <t>same</t>
        </is>
      </c>
      <c r="H11" s="2" t="inlineStr">
        <is>
          <t>same</t>
        </is>
      </c>
      <c r="I11" s="2" t="inlineStr">
        <is>
          <t>differs (shoots)</t>
        </is>
      </c>
      <c r="J11" s="2" t="inlineStr">
        <is>
          <t>same</t>
        </is>
      </c>
      <c r="K11" s="2" t="inlineStr">
        <is>
          <t>n/a</t>
        </is>
      </c>
      <c r="L11" s="2" t="inlineStr">
        <is>
          <t>same</t>
        </is>
      </c>
      <c r="M11" s="2" t="inlineStr">
        <is>
          <t>differs [2]</t>
        </is>
      </c>
      <c r="N11" s="2" t="inlineStr">
        <is>
          <t>same</t>
        </is>
      </c>
      <c r="O11" s="2" t="inlineStr">
        <is>
          <t>differs: it never takes by moving ◐ `land` makes the lob a displacement capture</t>
        </is>
      </c>
    </row>
    <row r="12">
      <c r="A12" s="13" t="inlineStr">
        <is>
          <t>4c Hop — over any piece</t>
        </is>
      </c>
      <c r="B12" s="16" t="inlineStr"/>
      <c r="C12" s="2" t="inlineStr">
        <is>
          <t>—</t>
        </is>
      </c>
      <c r="D12" s="2" t="inlineStr">
        <is>
          <t>●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◐ leap, home rank only (Q1)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</row>
    <row r="13">
      <c r="A13" s="13" t="inlineStr">
        <is>
          <t>4d Hop — over friends only</t>
        </is>
      </c>
      <c r="B13" s="16" t="inlineStr"/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● ◐ off = blocked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</row>
    <row r="14">
      <c r="A14" s="13" t="inlineStr">
        <is>
          <t>4e Hop — over enemies only</t>
        </is>
      </c>
      <c r="B14" s="16" t="inlineStr"/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◐ over enemies too (degenerate, `sim-lm-buffs`)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◐ the lob hops exactly one enemy — the screen, which may not be a friend</t>
        </is>
      </c>
    </row>
    <row r="15">
      <c r="A15" s="13" t="inlineStr">
        <is>
          <t>5a Control — move any adjacent piece</t>
        </is>
      </c>
      <c r="B15" s="16" t="inlineStr"/>
      <c r="C15" s="2" t="inlineStr">
        <is>
          <t>—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● pushes one non-king neighbour 1 square straight away onto an empty square and follows; ◐ repel stays put</t>
        </is>
      </c>
      <c r="O15" s="2" t="inlineStr">
        <is>
          <t>—</t>
        </is>
      </c>
    </row>
    <row r="16">
      <c r="A16" s="13" t="inlineStr">
        <is>
          <t>5b Control — friends only</t>
        </is>
      </c>
      <c r="B16" s="16" t="inlineStr"/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● swap with an adjacent friend; long swap with the king, both on home rank ◐ any friend anywhere (Q3) / king anywhere</t>
        </is>
      </c>
      <c r="M16" s="2" t="inlineStr">
        <is>
          <t>—</t>
        </is>
      </c>
      <c r="N16" s="2" t="inlineStr">
        <is>
          <t>● a friend is pushable</t>
        </is>
      </c>
      <c r="O16" s="2" t="inlineStr">
        <is>
          <t>—</t>
        </is>
      </c>
    </row>
    <row r="17">
      <c r="A17" s="13" t="inlineStr">
        <is>
          <t>5c Control — enemies only</t>
        </is>
      </c>
      <c r="B17" s="16" t="inlineStr"/>
      <c r="C17" s="2" t="inlineStr">
        <is>
          <t>—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◐ swap with an adjacent enemy (not the king)</t>
        </is>
      </c>
      <c r="M17" s="2" t="inlineStr">
        <is>
          <t>—</t>
        </is>
      </c>
      <c r="N17" s="2" t="inlineStr">
        <is>
          <t>● so is an enemy, a Guard included</t>
        </is>
      </c>
      <c r="O17" s="2" t="inlineStr">
        <is>
          <t>—</t>
        </is>
      </c>
    </row>
    <row r="18">
      <c r="A18" s="13" t="inlineStr">
        <is>
          <t>5d Push — relocate a neighbour, then follow</t>
        </is>
      </c>
      <c r="B18" s="16" t="inlineStr"/>
      <c r="C18" s="2" t="inlineStr">
        <is>
          <t>—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● default, 2026-09-24 (`ogreMode: 'push'`): the neighbour moves one square straight away and the Ogre follows. Value 318 adopted from the earlier 3.18 ± 0.44 pawn estimate. Historical depth-3/depth-4 results are in `sim-ogre-movement-2026-09-17.md` and `direct-campaign-phase-3-2026-09-22.md`; no run is active.</t>
        </is>
      </c>
      <c r="O18" s="2" t="inlineStr">
        <is>
          <t>—</t>
        </is>
      </c>
    </row>
    <row r="19">
      <c r="A19" s="13" t="inlineStr">
        <is>
          <t>5e Repel — relocate a neighbour, stay put</t>
        </is>
      </c>
      <c r="B19" s="16" t="inlineStr"/>
      <c r="C19" s="2" t="inlineStr">
        <is>
          <t>—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◐ lab alternative (`ogreMode: 'repel'`): the neighbour moves and the Ogre stays. Historical measured value 2.25 ± 0.43 pawns; current evaluation value 318 is for the adopted push default.</t>
        </is>
      </c>
      <c r="O19" s="2" t="inlineStr">
        <is>
          <t>—</t>
        </is>
      </c>
    </row>
    <row r="20">
      <c r="A20" s="13" t="inlineStr">
        <is>
          <t>6a Trigger on capture</t>
        </is>
      </c>
      <c r="B20" s="16" t="inlineStr"/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● dies after non-pawn captures; survives pawns ◐ always / never dies</t>
        </is>
      </c>
      <c r="K20" s="2" t="inlineStr">
        <is>
          <t>◐ spent after one capture (rejected)</t>
        </is>
      </c>
      <c r="L20" s="2" t="inlineStr">
        <is>
          <t>—</t>
        </is>
      </c>
      <c r="M20" s="2" t="inlineStr">
        <is>
          <t>● may capture again ◐ off</t>
        </is>
      </c>
      <c r="N20" s="2" t="inlineStr">
        <is>
          <t>—</t>
        </is>
      </c>
      <c r="O20" s="2" t="inlineStr">
        <is>
          <t>—</t>
        </is>
      </c>
    </row>
    <row r="21">
      <c r="A21" s="13" t="inlineStr">
        <is>
          <t>6b Rule vs one specific piece</t>
        </is>
      </c>
      <c r="B21" s="16" t="inlineStr"/>
      <c r="C21" s="2" t="inlineStr">
        <is>
          <t>—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—</t>
        </is>
      </c>
      <c r="I21" s="2" t="inlineStr">
        <is>
          <t>◐ cannot take a king</t>
        </is>
      </c>
      <c r="J21" s="2" t="inlineStr">
        <is>
          <t>● cannot take a king</t>
        </is>
      </c>
      <c r="K21" s="2" t="inlineStr">
        <is>
          <t>● only a king takes it</t>
        </is>
      </c>
      <c r="L21" s="2" t="inlineStr">
        <is>
          <t>● long swap only with the king</t>
        </is>
      </c>
      <c r="M21" s="2" t="inlineStr">
        <is>
          <t>● no king as a chain step</t>
        </is>
      </c>
      <c r="N21" s="2" t="inlineStr">
        <is>
          <t>● never pushes a king of either colour</t>
        </is>
      </c>
      <c r="O21" s="2" t="inlineStr">
        <is>
          <t>◐ a lob may take a king, so it checks through the screen</t>
        </is>
      </c>
    </row>
  </sheetData>
  <dataValidations count="18">
    <dataValidation sqref="B4" showDropDown="0" showInputMessage="0" showErrorMessage="0" allowBlank="1" error="Pick a value from the list" type="list" errorStyle="warning">
      <formula1>Lists!$A$1:$A$9</formula1>
    </dataValidation>
    <dataValidation sqref="B5" showDropDown="0" showInputMessage="0" showErrorMessage="0" allowBlank="1" error="Pick a value from the list" type="list" errorStyle="warning">
      <formula1>Lists!$B$1:$B$6</formula1>
    </dataValidation>
    <dataValidation sqref="B6" showDropDown="0" showInputMessage="0" showErrorMessage="0" allowBlank="1" error="Pick a value from the list" type="list" errorStyle="warning">
      <formula1>Lists!$C$1:$C$2</formula1>
    </dataValidation>
    <dataValidation sqref="B7" showDropDown="0" showInputMessage="0" showErrorMessage="0" allowBlank="1" error="Pick a value from the list" type="list" errorStyle="warning">
      <formula1>Lists!$D$1:$D$2</formula1>
    </dataValidation>
    <dataValidation sqref="B8" showDropDown="0" showInputMessage="0" showErrorMessage="0" allowBlank="1" error="Pick a value from the list" type="list" errorStyle="warning">
      <formula1>Lists!$E$1:$E$5</formula1>
    </dataValidation>
    <dataValidation sqref="B9" showDropDown="0" showInputMessage="0" showErrorMessage="0" allowBlank="1" error="Pick a value from the list" type="list" errorStyle="warning">
      <formula1>Lists!$F$1:$F$5</formula1>
    </dataValidation>
    <dataValidation sqref="B10" showDropDown="0" showInputMessage="0" showErrorMessage="0" allowBlank="1" error="Pick a value from the list" type="list" errorStyle="warning">
      <formula1>Lists!$G$1:$G$3</formula1>
    </dataValidation>
    <dataValidation sqref="B11" showDropDown="0" showInputMessage="0" showErrorMessage="0" allowBlank="1" error="Pick a value from the list" type="list" errorStyle="warning">
      <formula1>Lists!$H$1:$H$5</formula1>
    </dataValidation>
    <dataValidation sqref="B12" showDropDown="0" showInputMessage="0" showErrorMessage="0" allowBlank="1" error="Pick a value from the list" type="list" errorStyle="warning">
      <formula1>Lists!$I$1:$I$3</formula1>
    </dataValidation>
    <dataValidation sqref="B13" showDropDown="0" showInputMessage="0" showErrorMessage="0" allowBlank="1" error="Pick a value from the list" type="list" errorStyle="warning">
      <formula1>Lists!$J$1:$J$2</formula1>
    </dataValidation>
    <dataValidation sqref="B14" showDropDown="0" showInputMessage="0" showErrorMessage="0" allowBlank="1" error="Pick a value from the list" type="list" errorStyle="warning">
      <formula1>Lists!$K$1:$K$3</formula1>
    </dataValidation>
    <dataValidation sqref="B15" showDropDown="0" showInputMessage="0" showErrorMessage="0" allowBlank="1" error="Pick a value from the list" type="list" errorStyle="warning">
      <formula1>Lists!$L$1:$L$2</formula1>
    </dataValidation>
    <dataValidation sqref="B16" showDropDown="0" showInputMessage="0" showErrorMessage="0" allowBlank="1" error="Pick a value from the list" type="list" errorStyle="warning">
      <formula1>Lists!$M$1:$M$4</formula1>
    </dataValidation>
    <dataValidation sqref="B17" showDropDown="0" showInputMessage="0" showErrorMessage="0" allowBlank="1" error="Pick a value from the list" type="list" errorStyle="warning">
      <formula1>Lists!$N$1:$N$3</formula1>
    </dataValidation>
    <dataValidation sqref="B18" showDropDown="0" showInputMessage="0" showErrorMessage="0" allowBlank="1" error="Pick a value from the list" type="list" errorStyle="warning">
      <formula1>Lists!$O$1:$O$2</formula1>
    </dataValidation>
    <dataValidation sqref="B19" showDropDown="0" showInputMessage="0" showErrorMessage="0" allowBlank="1" error="Pick a value from the list" type="list" errorStyle="warning">
      <formula1>Lists!$P$1:$P$2</formula1>
    </dataValidation>
    <dataValidation sqref="B20" showDropDown="0" showInputMessage="0" showErrorMessage="0" allowBlank="1" error="Pick a value from the list" type="list" errorStyle="warning">
      <formula1>Lists!$Q$1:$Q$5</formula1>
    </dataValidation>
    <dataValidation sqref="B21" showDropDown="0" showInputMessage="0" showErrorMessage="0" allowBlank="1" error="Pick a value from the list" type="list" errorStyle="warning">
      <formula1>Lists!$R$1:$R$5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</cols>
  <sheetData>
    <row r="1">
      <c r="A1" s="11" t="inlineStr">
        <is>
          <t>Key: ● king power in the game · ◐ card (lab). Column B: design a new card or power with the drop-downs. Source: docs/MATRIX.md C.1–C.2, with Death Touch T2 (owner 2026-10-09).</t>
        </is>
      </c>
    </row>
    <row r="3">
      <c r="A3" s="14" t="inlineStr">
        <is>
          <t>Property</t>
        </is>
      </c>
      <c r="B3" s="15" t="inlineStr">
        <is>
          <t>NEW CARD / POWER</t>
        </is>
      </c>
      <c r="C3" s="14" t="inlineStr">
        <is>
          <t>Freeze</t>
        </is>
      </c>
      <c r="D3" s="14" t="inlineStr">
        <is>
          <t>Ice Wall</t>
        </is>
      </c>
      <c r="E3" s="14" t="inlineStr">
        <is>
          <t>Strike</t>
        </is>
      </c>
      <c r="F3" s="14" t="inlineStr">
        <is>
          <t>Haste</t>
        </is>
      </c>
      <c r="G3" s="14" t="inlineStr">
        <is>
          <t>Flight</t>
        </is>
      </c>
      <c r="H3" s="14" t="inlineStr">
        <is>
          <t>Sacrifice</t>
        </is>
      </c>
      <c r="I3" s="14" t="inlineStr">
        <is>
          <t>March</t>
        </is>
      </c>
      <c r="J3" s="14" t="inlineStr">
        <is>
          <t>Leap</t>
        </is>
      </c>
      <c r="K3" s="14" t="inlineStr">
        <is>
          <t>Holy Light</t>
        </is>
      </c>
      <c r="L3" s="14" t="inlineStr">
        <is>
          <t>Mercy</t>
        </is>
      </c>
      <c r="M3" s="14" t="inlineStr">
        <is>
          <t>Death Touch</t>
        </is>
      </c>
      <c r="N3" s="14" t="inlineStr">
        <is>
          <t>Darkness</t>
        </is>
      </c>
      <c r="O3" s="14" t="inlineStr">
        <is>
          <t>Mimic</t>
        </is>
      </c>
      <c r="P3" s="14" t="inlineStr">
        <is>
          <t>Vault</t>
        </is>
      </c>
      <c r="Q3" s="14" t="inlineStr">
        <is>
          <t>Curse</t>
        </is>
      </c>
      <c r="R3" s="14" t="inlineStr">
        <is>
          <t>Sky Lift</t>
        </is>
      </c>
      <c r="S3" s="14" t="inlineStr">
        <is>
          <t>Salvation</t>
        </is>
      </c>
      <c r="T3" s="14" t="inlineStr">
        <is>
          <t>Rage</t>
        </is>
      </c>
      <c r="U3" s="14" t="inlineStr">
        <is>
          <t>RageB</t>
        </is>
      </c>
      <c r="V3" s="14" t="inlineStr">
        <is>
          <t>Mirror</t>
        </is>
      </c>
      <c r="W3" s="14" t="inlineStr">
        <is>
          <t>MirrorB</t>
        </is>
      </c>
      <c r="X3" s="14" t="inlineStr">
        <is>
          <t>Firewall</t>
        </is>
      </c>
      <c r="Y3" s="14" t="inlineStr">
        <is>
          <t>FirewallB</t>
        </is>
      </c>
      <c r="Z3" s="14" t="inlineStr">
        <is>
          <t>Earth Quake</t>
        </is>
      </c>
      <c r="AA3" s="14" t="inlineStr">
        <is>
          <t>Earth Quake B</t>
        </is>
      </c>
      <c r="AB3" s="14" t="inlineStr">
        <is>
          <t>Burn</t>
        </is>
      </c>
      <c r="AC3" s="14" t="inlineStr">
        <is>
          <t>Fire Starter</t>
        </is>
      </c>
      <c r="AD3" s="14" t="inlineStr">
        <is>
          <t>Control</t>
        </is>
      </c>
      <c r="AE3" s="14" t="inlineStr">
        <is>
          <t>Rescue</t>
        </is>
      </c>
      <c r="AF3" s="14" t="inlineStr">
        <is>
          <t>Growth</t>
        </is>
      </c>
      <c r="AG3" s="14" t="inlineStr">
        <is>
          <t>GrowthB</t>
        </is>
      </c>
      <c r="AH3" s="14" t="inlineStr">
        <is>
          <t>Rally</t>
        </is>
      </c>
      <c r="AI3" s="14" t="inlineStr">
        <is>
          <t>Morph</t>
        </is>
      </c>
      <c r="AJ3" s="14" t="inlineStr">
        <is>
          <t>MorphB</t>
        </is>
      </c>
      <c r="AK3" s="14" t="inlineStr">
        <is>
          <t>Spawn</t>
        </is>
      </c>
      <c r="AL3" s="14" t="inlineStr">
        <is>
          <t>SpawnK</t>
        </is>
      </c>
      <c r="AM3" s="14" t="inlineStr">
        <is>
          <t>Spawn2</t>
        </is>
      </c>
      <c r="AN3" s="14" t="inlineStr">
        <is>
          <t>SpawnK2</t>
        </is>
      </c>
      <c r="AO3" s="14" t="inlineStr">
        <is>
          <t>MorphP</t>
        </is>
      </c>
      <c r="AP3" s="14" t="inlineStr">
        <is>
          <t>MorphS</t>
        </is>
      </c>
    </row>
    <row r="4">
      <c r="A4" s="13" t="inlineStr">
        <is>
          <t>Source</t>
        </is>
      </c>
      <c r="B4" s="16" t="inlineStr"/>
      <c r="C4" s="2" t="inlineStr">
        <is>
          <t>both ● / ◐</t>
        </is>
      </c>
      <c r="D4" s="2" t="inlineStr">
        <is>
          <t>both ● / ◐</t>
        </is>
      </c>
      <c r="E4" s="2" t="inlineStr">
        <is>
          <t>both ● / ◐</t>
        </is>
      </c>
      <c r="F4" s="2" t="inlineStr">
        <is>
          <t>both ● / ◐</t>
        </is>
      </c>
      <c r="G4" s="2" t="inlineStr">
        <is>
          <t>both ● / ◐</t>
        </is>
      </c>
      <c r="H4" s="2" t="inlineStr">
        <is>
          <t>both ● / ◐</t>
        </is>
      </c>
      <c r="I4" s="2" t="inlineStr">
        <is>
          <t>both ● / ◐</t>
        </is>
      </c>
      <c r="J4" s="2" t="inlineStr">
        <is>
          <t>both ● / ◐</t>
        </is>
      </c>
      <c r="K4" s="2" t="inlineStr">
        <is>
          <t>king power ●</t>
        </is>
      </c>
      <c r="L4" s="2" t="inlineStr">
        <is>
          <t>king power ●</t>
        </is>
      </c>
      <c r="M4" s="2" t="inlineStr">
        <is>
          <t>king power ●</t>
        </is>
      </c>
      <c r="N4" s="2" t="inlineStr">
        <is>
          <t>king power ●</t>
        </is>
      </c>
      <c r="O4" s="2" t="inlineStr">
        <is>
          <t>card ◐</t>
        </is>
      </c>
      <c r="P4" s="2" t="inlineStr">
        <is>
          <t>card ◐</t>
        </is>
      </c>
      <c r="Q4" s="2" t="inlineStr">
        <is>
          <t>card ◐</t>
        </is>
      </c>
      <c r="R4" s="2" t="inlineStr">
        <is>
          <t>card ◐</t>
        </is>
      </c>
      <c r="S4" s="2" t="inlineStr">
        <is>
          <t>card ◐</t>
        </is>
      </c>
      <c r="T4" s="2" t="inlineStr">
        <is>
          <t>card ◐ legendary (dealt rarely; owner 2026-10-06, as built: +4.06 pawns, trims `quiet` +4.01 and `stopOnTake` +4.47 do not soften it)</t>
        </is>
      </c>
      <c r="U4" s="2" t="inlineStr">
        <is>
          <t>card ◐</t>
        </is>
      </c>
      <c r="V4" s="2" t="inlineStr">
        <is>
          <t>card ◐</t>
        </is>
      </c>
      <c r="W4" s="2" t="inlineStr">
        <is>
          <t>card ◐</t>
        </is>
      </c>
      <c r="X4" s="2" t="inlineStr">
        <is>
          <t>card ◐</t>
        </is>
      </c>
      <c r="Y4" s="2" t="inlineStr">
        <is>
          <t>card ◐</t>
        </is>
      </c>
      <c r="Z4" s="2" t="inlineStr">
        <is>
          <t>card ◐</t>
        </is>
      </c>
      <c r="AA4" s="2" t="inlineStr">
        <is>
          <t>card ◐</t>
        </is>
      </c>
      <c r="AB4" s="2" t="inlineStr">
        <is>
          <t>card ◐</t>
        </is>
      </c>
      <c r="AC4" s="2" t="inlineStr">
        <is>
          <t>card ◐</t>
        </is>
      </c>
      <c r="AD4" s="2" t="inlineStr">
        <is>
          <t>card ◐</t>
        </is>
      </c>
      <c r="AE4" s="2" t="inlineStr">
        <is>
          <t>card ◐</t>
        </is>
      </c>
      <c r="AF4" s="2" t="inlineStr">
        <is>
          <t>card ◐</t>
        </is>
      </c>
      <c r="AG4" s="2" t="inlineStr">
        <is>
          <t>card ◐</t>
        </is>
      </c>
      <c r="AH4" s="2" t="inlineStr">
        <is>
          <t>card ◐ (+2.60 ± 0.46 pawns, draws 9.8%; deal candidate)</t>
        </is>
      </c>
      <c r="AI4" s="2" t="inlineStr">
        <is>
          <t>card ◐ (`morph-a1`, Kaggle, 3,000 games, 150 pairs, seed 6161, depth 3, a fresh army per pair: against no card 98% (past the calibration: "more than a queen's worth" is the safe reading), against the Haste card 90%, against MorphB 71%; 86.2% ± 2.3 against the field (Elo +256); draws 7.3% (no rise); played in 97.9% of games, median first use ply 5 (move 3); it always picks the queen: Guard→Q 725, Knight→Q 470, Bishop→Q 144, Maester→Q 53, Ogre→Q 43, so it is a free queen on move 3, and leaving the Guard out does not fix it (Knight→queen is next); owner's choice open)</t>
        </is>
      </c>
      <c r="AJ4" s="2" t="inlineStr">
        <is>
          <t>card ◐ (`morph-a1`: against no card 77% (+210 Elo ≈ +3.3 pawns at 64 Elo a pawn; above the Workshop's fair-card ceiling of 3 pawns, fair band 0.7–3), against the Haste card 64%; 56.7% ± 3.2 against the field; draws 9.3% (no rise); played in 99.5% of games, median first use ply 5; no queen, so it almost always picks the Archer: Guard→A 729, Knight→A 236, Bishop→A 70, Maester→A 25; Guard→Rook 11; owner's choice open)</t>
        </is>
      </c>
      <c r="AK4" s="2" t="inlineStr">
        <is>
          <t>card ◐ set aside (owner 2026-10-06: too weak to feel; `spawn-r1` +0.36 ± 0.38 pawns, draws 17.3%, +2.0 ± 5.1 against no card; played in 94% of games, median first use ply 21; below the Workshop's fair-card floor of 0.7 pawns; stays in the lab)</t>
        </is>
      </c>
      <c r="AL4" s="2" t="inlineStr">
        <is>
          <t>card ◐ (`spawn-r1` +0.80 ± 0.36 pawns, draws 15.7%, +0.3 ± 5.1; played in 73%, median ply 53; stays as built, owner)</t>
        </is>
      </c>
      <c r="AM4" s="2" t="inlineStr">
        <is>
          <t>card ◐ the start-rank Spawn card (owner 2026-10-06; `spawn-r1` +0.50 ± 0.40 pawns, draws 16.2%, +0.8 ± 5.1; played in 99%, median ply 12; below the Workshop's fair-card floor of 0.7 pawns)</t>
        </is>
      </c>
      <c r="AN4" s="2" t="inlineStr">
        <is>
          <t>card ◐ (`spawn-r1` +1.55 ± 0.40 pawns, draws 13.8%, −1.5 ± 5.0; played in 78%, median ply 48; stays in the lab, owner 2026-10-06)</t>
        </is>
      </c>
      <c r="AO4" s="2" t="inlineStr">
        <is>
          <t>card ◐ (a softer Morph, owner 2026-10-06; `morph-b1`, Kaggle, 3,000 games, 150 armies, depth 3, standard rules: against no card 70% (+147 Elo ≈ +2.3 pawns at 64 Elo a pawn; inside the fair band 0.7–3), against the Haste card 50% (equal), against MorphS 62%; 60.6% ± 2.9 against the field; draws 13.7% against 14.9% for no card (no rise); played in 99.7% of games, median first use ply 5)</t>
        </is>
      </c>
      <c r="AP4" s="2" t="inlineStr">
        <is>
          <t>card ◐ (a softer Morph, owner 2026-10-06: "two of your pieces swap types", built as a swap of places, the same on the board; `morph-b1`, Kaggle, 3,000 games, 150 armies, depth 3, standard rules: against no card 59% (≈ +1.0 pawn; inside the fair band 0.7–3), against the Haste card 43%, against MorphP 38%; 46.8% ± 3.1 against the field; draws 15.3% (no rise); played in 72.1% of games, median first use ply 34. Sky Lift's moves under its own name: Sky Lift measured +1.2 ± 0.4 pawns in `cards-a2`)</t>
        </is>
      </c>
    </row>
    <row r="5">
      <c r="A5" s="13" t="inlineStr">
        <is>
          <t>Type</t>
        </is>
      </c>
      <c r="B5" s="16" t="inlineStr"/>
      <c r="C5" s="2" t="inlineStr">
        <is>
          <t>mark</t>
        </is>
      </c>
      <c r="D5" s="2" t="inlineStr">
        <is>
          <t>mark</t>
        </is>
      </c>
      <c r="E5" s="2" t="inlineStr">
        <is>
          <t>special move: as a queen</t>
        </is>
      </c>
      <c r="F5" s="2" t="inlineStr">
        <is>
          <t>extra move: the same piece</t>
        </is>
      </c>
      <c r="G5" s="2" t="inlineStr">
        <is>
          <t>special move: to an empty square of the own half</t>
        </is>
      </c>
      <c r="H5" s="2" t="inlineStr">
        <is>
          <t>arrival: a pawn becomes a lost piece</t>
        </is>
      </c>
      <c r="I5" s="2" t="inlineStr">
        <is>
          <t>always-on (king) · special move (card): a pawn's double step from any rank</t>
        </is>
      </c>
      <c r="J5" s="2" t="inlineStr">
        <is>
          <t>special move: a slider passes its own pawns</t>
        </is>
      </c>
      <c r="K5" s="2" t="inlineStr">
        <is>
          <t>always-on</t>
        </is>
      </c>
      <c r="L5" s="2" t="inlineStr">
        <is>
          <t>always-on: the king steps 1–2 and jumps own pieces</t>
        </is>
      </c>
      <c r="M5" s="2" t="inlineStr">
        <is>
          <t>always-on</t>
        </is>
      </c>
      <c r="N5" s="2" t="inlineStr">
        <is>
          <t>always-on: pawns step straight or diagonally; the king may step 2 straight</t>
        </is>
      </c>
      <c r="O5" s="2" t="inlineStr">
        <is>
          <t>special move: as another own type moves</t>
        </is>
      </c>
      <c r="P5" s="2" t="inlineStr">
        <is>
          <t>special move: a slider passes one piece</t>
        </is>
      </c>
      <c r="Q5" s="2" t="inlineStr">
        <is>
          <t>special move: an enemy steps 1 square</t>
        </is>
      </c>
      <c r="R5" s="2" t="inlineStr">
        <is>
          <t>special move: two own pieces trade squares</t>
        </is>
      </c>
      <c r="S5" s="2" t="inlineStr">
        <is>
          <t>arrival: a lost piece to the own first rank</t>
        </is>
      </c>
      <c r="T5" s="2" t="inlineStr">
        <is>
          <t>extra move: the same piece</t>
        </is>
      </c>
      <c r="U5" s="2" t="inlineStr">
        <is>
          <t>extra move: the same piece</t>
        </is>
      </c>
      <c r="V5" s="2" t="inlineStr">
        <is>
          <t>copy: the opponent's last card</t>
        </is>
      </c>
      <c r="W5" s="2" t="inlineStr">
        <is>
          <t>copy: another card of the hand, which stays</t>
        </is>
      </c>
      <c r="X5" s="2" t="inlineStr">
        <is>
          <t>mark: every own piece</t>
        </is>
      </c>
      <c r="Y5" s="2" t="inlineStr">
        <is>
          <t>special move: trade squares with an enemy next to it</t>
        </is>
      </c>
      <c r="Z5" s="2" t="inlineStr">
        <is>
          <t>special move: push the pieces next to a square</t>
        </is>
      </c>
      <c r="AA5" s="2" t="inlineStr">
        <is>
          <t>special move: the same, a square next to an own piece</t>
        </is>
      </c>
      <c r="AB5" s="2" t="inlineStr">
        <is>
          <t>special move: take in the capital as a queen</t>
        </is>
      </c>
      <c r="AC5" s="2" t="inlineStr">
        <is>
          <t>special move: the same on the enemy back rank</t>
        </is>
      </c>
      <c r="AD5" s="2" t="inlineStr">
        <is>
          <t>special move: as a friendly neighbour moves and takes</t>
        </is>
      </c>
      <c r="AE5" s="2" t="inlineStr">
        <is>
          <t>mark: renews the own last mark</t>
        </is>
      </c>
      <c r="AF5" s="2" t="inlineStr">
        <is>
          <t>draw</t>
        </is>
      </c>
      <c r="AG5" s="2" t="inlineStr">
        <is>
          <t>draw</t>
        </is>
      </c>
      <c r="AH5" s="2" t="inlineStr">
        <is>
          <t>extra move: a different own piece</t>
        </is>
      </c>
      <c r="AI5" s="2" t="inlineStr">
        <is>
          <t>promotion: an own piece becomes another type, on its square</t>
        </is>
      </c>
      <c r="AJ5" s="2" t="inlineStr">
        <is>
          <t>promotion: the same</t>
        </is>
      </c>
      <c r="AK5" s="2" t="inlineStr">
        <is>
          <t>spawn: a new own pawn on an empty square of the own pawn start rank (rank 2 / 7)</t>
        </is>
      </c>
      <c r="AL5" s="2" t="inlineStr">
        <is>
          <t>spawn: a new own pawn on an empty square next to the own king</t>
        </is>
      </c>
      <c r="AM5" s="2" t="inlineStr">
        <is>
          <t>spawn: two new own pawns, as Spawn</t>
        </is>
      </c>
      <c r="AN5" s="2" t="inlineStr">
        <is>
          <t>spawn: two new own pawns, as SpawnK</t>
        </is>
      </c>
      <c r="AO5" s="2" t="inlineStr">
        <is>
          <t>promotion: an own pawn becomes a knight or a bishop, on its square</t>
        </is>
      </c>
      <c r="AP5" s="2" t="inlineStr">
        <is>
          <t>special move: two own pieces swap places</t>
        </is>
      </c>
    </row>
    <row r="6">
      <c r="A6" s="13" t="inlineStr">
        <is>
          <t>Rarity</t>
        </is>
      </c>
      <c r="B6" s="16" t="inlineStr"/>
      <c r="C6" s="2" t="inlineStr">
        <is>
          <t>common</t>
        </is>
      </c>
      <c r="D6" s="2" t="inlineStr">
        <is>
          <t>common</t>
        </is>
      </c>
      <c r="E6" s="2" t="inlineStr">
        <is>
          <t>common</t>
        </is>
      </c>
      <c r="F6" s="2" t="inlineStr">
        <is>
          <t>common</t>
        </is>
      </c>
      <c r="G6" s="2" t="inlineStr">
        <is>
          <t>common</t>
        </is>
      </c>
      <c r="H6" s="2" t="inlineStr">
        <is>
          <t>common</t>
        </is>
      </c>
      <c r="I6" s="2" t="inlineStr">
        <is>
          <t>common</t>
        </is>
      </c>
      <c r="J6" s="2" t="inlineStr">
        <is>
          <t>common</t>
        </is>
      </c>
      <c r="K6" s="2" t="inlineStr">
        <is>
          <t>common</t>
        </is>
      </c>
      <c r="L6" s="2" t="inlineStr">
        <is>
          <t>common</t>
        </is>
      </c>
      <c r="M6" s="2" t="inlineStr">
        <is>
          <t>common</t>
        </is>
      </c>
      <c r="N6" s="2" t="inlineStr">
        <is>
          <t>common</t>
        </is>
      </c>
      <c r="O6" s="2" t="inlineStr">
        <is>
          <t>common</t>
        </is>
      </c>
      <c r="P6" s="2" t="inlineStr">
        <is>
          <t>common</t>
        </is>
      </c>
      <c r="Q6" s="2" t="inlineStr">
        <is>
          <t>common</t>
        </is>
      </c>
      <c r="R6" s="2" t="inlineStr">
        <is>
          <t>common</t>
        </is>
      </c>
      <c r="S6" s="2" t="inlineStr">
        <is>
          <t>common</t>
        </is>
      </c>
      <c r="T6" s="2" t="inlineStr">
        <is>
          <t>legendary</t>
        </is>
      </c>
      <c r="U6" s="2" t="inlineStr">
        <is>
          <t>common</t>
        </is>
      </c>
      <c r="V6" s="2" t="inlineStr">
        <is>
          <t>common</t>
        </is>
      </c>
      <c r="W6" s="2" t="inlineStr">
        <is>
          <t>common</t>
        </is>
      </c>
      <c r="X6" s="2" t="inlineStr">
        <is>
          <t>common</t>
        </is>
      </c>
      <c r="Y6" s="2" t="inlineStr">
        <is>
          <t>common</t>
        </is>
      </c>
      <c r="Z6" s="2" t="inlineStr">
        <is>
          <t>common</t>
        </is>
      </c>
      <c r="AA6" s="2" t="inlineStr">
        <is>
          <t>common</t>
        </is>
      </c>
      <c r="AB6" s="2" t="inlineStr">
        <is>
          <t>common</t>
        </is>
      </c>
      <c r="AC6" s="2" t="inlineStr">
        <is>
          <t>common</t>
        </is>
      </c>
      <c r="AD6" s="2" t="inlineStr">
        <is>
          <t>common</t>
        </is>
      </c>
      <c r="AE6" s="2" t="inlineStr">
        <is>
          <t>common</t>
        </is>
      </c>
      <c r="AF6" s="2" t="inlineStr">
        <is>
          <t>common</t>
        </is>
      </c>
      <c r="AG6" s="2" t="inlineStr">
        <is>
          <t>common</t>
        </is>
      </c>
      <c r="AH6" s="2" t="inlineStr">
        <is>
          <t>common</t>
        </is>
      </c>
      <c r="AI6" s="2" t="inlineStr">
        <is>
          <t>common</t>
        </is>
      </c>
      <c r="AJ6" s="2" t="inlineStr">
        <is>
          <t>common</t>
        </is>
      </c>
      <c r="AK6" s="2" t="inlineStr">
        <is>
          <t>common</t>
        </is>
      </c>
      <c r="AL6" s="2" t="inlineStr">
        <is>
          <t>common</t>
        </is>
      </c>
      <c r="AM6" s="2" t="inlineStr">
        <is>
          <t>common</t>
        </is>
      </c>
      <c r="AN6" s="2" t="inlineStr">
        <is>
          <t>common</t>
        </is>
      </c>
      <c r="AO6" s="2" t="inlineStr">
        <is>
          <t>common</t>
        </is>
      </c>
      <c r="AP6" s="2" t="inlineStr">
        <is>
          <t>common</t>
        </is>
      </c>
    </row>
    <row r="7">
      <c r="A7" s="13" t="inlineStr">
        <is>
          <t>Uses</t>
        </is>
      </c>
      <c r="B7" s="16" t="inlineStr"/>
      <c r="C7" s="2" t="inlineStr">
        <is>
          <t>1 (printed 2)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— (printed 3)</t>
        </is>
      </c>
      <c r="J7" s="2" t="inlineStr">
        <is>
          <t>3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</t>
        </is>
      </c>
      <c r="V7" s="2" t="inlineStr">
        <is>
          <t>—</t>
        </is>
      </c>
      <c r="W7" s="2" t="inlineStr">
        <is>
          <t>—</t>
        </is>
      </c>
      <c r="X7" s="2" t="inlineStr">
        <is>
          <t>—</t>
        </is>
      </c>
      <c r="Y7" s="2" t="inlineStr">
        <is>
          <t>—</t>
        </is>
      </c>
      <c r="Z7" s="2" t="inlineStr">
        <is>
          <t>—</t>
        </is>
      </c>
      <c r="AA7" s="2" t="inlineStr">
        <is>
          <t>—</t>
        </is>
      </c>
      <c r="AB7" s="2" t="inlineStr">
        <is>
          <t>—</t>
        </is>
      </c>
      <c r="AC7" s="2" t="inlineStr">
        <is>
          <t>—</t>
        </is>
      </c>
      <c r="AD7" s="2" t="inlineStr">
        <is>
          <t>—</t>
        </is>
      </c>
      <c r="AE7" s="2" t="inlineStr">
        <is>
          <t>—</t>
        </is>
      </c>
      <c r="AF7" s="2" t="inlineStr">
        <is>
          <t>—</t>
        </is>
      </c>
      <c r="AG7" s="2" t="inlineStr">
        <is>
          <t>—</t>
        </is>
      </c>
      <c r="AH7" s="2" t="inlineStr">
        <is>
          <t>—</t>
        </is>
      </c>
      <c r="AI7" s="2" t="inlineStr">
        <is>
          <t>—</t>
        </is>
      </c>
      <c r="AJ7" s="2" t="inlineStr">
        <is>
          <t>—</t>
        </is>
      </c>
      <c r="AK7" s="2" t="inlineStr">
        <is>
          <t>—</t>
        </is>
      </c>
      <c r="AL7" s="2" t="inlineStr">
        <is>
          <t>—</t>
        </is>
      </c>
      <c r="AM7" s="2" t="inlineStr">
        <is>
          <t>—</t>
        </is>
      </c>
      <c r="AN7" s="2" t="inlineStr">
        <is>
          <t>—</t>
        </is>
      </c>
      <c r="AO7" s="2" t="inlineStr">
        <is>
          <t>—</t>
        </is>
      </c>
      <c r="AP7" s="2" t="inlineStr">
        <is>
          <t>—</t>
        </is>
      </c>
    </row>
    <row r="8">
      <c r="A8" s="13" t="inlineStr">
        <is>
          <t>Turn cost</t>
        </is>
      </c>
      <c r="B8" s="16" t="inlineStr"/>
      <c r="C8" s="2" t="inlineStr">
        <is>
          <t>then make the move (printed: the turn's move)</t>
        </is>
      </c>
      <c r="D8" s="2" t="inlineStr">
        <is>
          <t>then make the move (printed: the turn's move)</t>
        </is>
      </c>
      <c r="E8" s="2" t="inlineStr">
        <is>
          <t>is the turn's move</t>
        </is>
      </c>
      <c r="F8" s="2" t="inlineStr">
        <is>
          <t>extra move</t>
        </is>
      </c>
      <c r="G8" s="2" t="inlineStr">
        <is>
          <t>is the turn's move</t>
        </is>
      </c>
      <c r="H8" s="2" t="inlineStr">
        <is>
          <t>is the turn's move</t>
        </is>
      </c>
      <c r="I8" s="2" t="inlineStr">
        <is>
          <t>is the turn's move</t>
        </is>
      </c>
      <c r="J8" s="2" t="inlineStr">
        <is>
          <t>is the turn's move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is the turn's move</t>
        </is>
      </c>
      <c r="P8" s="2" t="inlineStr">
        <is>
          <t>is the turn's move</t>
        </is>
      </c>
      <c r="Q8" s="2" t="inlineStr">
        <is>
          <t>is the turn's move</t>
        </is>
      </c>
      <c r="R8" s="2" t="inlineStr">
        <is>
          <t>is the turn's move</t>
        </is>
      </c>
      <c r="S8" s="2" t="inlineStr">
        <is>
          <t>is the turn's move</t>
        </is>
      </c>
      <c r="T8" s="2" t="inlineStr">
        <is>
          <t>extra move</t>
        </is>
      </c>
      <c r="U8" s="2" t="inlineStr">
        <is>
          <t>extra move</t>
        </is>
      </c>
      <c r="V8" s="2" t="inlineStr">
        <is>
          <t>the copied card's</t>
        </is>
      </c>
      <c r="W8" s="2" t="inlineStr">
        <is>
          <t>the copied card's</t>
        </is>
      </c>
      <c r="X8" s="2" t="inlineStr">
        <is>
          <t>then make the move</t>
        </is>
      </c>
      <c r="Y8" s="2" t="inlineStr">
        <is>
          <t>is the turn's move</t>
        </is>
      </c>
      <c r="Z8" s="2" t="inlineStr">
        <is>
          <t>is the turn's move</t>
        </is>
      </c>
      <c r="AA8" s="2" t="inlineStr">
        <is>
          <t>is the turn's move</t>
        </is>
      </c>
      <c r="AB8" s="2" t="inlineStr">
        <is>
          <t>is the turn's move</t>
        </is>
      </c>
      <c r="AC8" s="2" t="inlineStr">
        <is>
          <t>is the turn's move</t>
        </is>
      </c>
      <c r="AD8" s="2" t="inlineStr">
        <is>
          <t>is the turn's move</t>
        </is>
      </c>
      <c r="AE8" s="2" t="inlineStr">
        <is>
          <t>then make the move</t>
        </is>
      </c>
      <c r="AF8" s="2" t="inlineStr">
        <is>
          <t>is the turn's move</t>
        </is>
      </c>
      <c r="AG8" s="2" t="inlineStr">
        <is>
          <t>then make the move</t>
        </is>
      </c>
      <c r="AH8" s="2" t="inlineStr">
        <is>
          <t>extra move</t>
        </is>
      </c>
      <c r="AI8" s="2" t="inlineStr">
        <is>
          <t>is the turn's move</t>
        </is>
      </c>
      <c r="AJ8" s="2" t="inlineStr">
        <is>
          <t>is the turn's move</t>
        </is>
      </c>
      <c r="AK8" s="2" t="inlineStr">
        <is>
          <t>is the turn's move</t>
        </is>
      </c>
      <c r="AL8" s="2" t="inlineStr">
        <is>
          <t>is the turn's move</t>
        </is>
      </c>
      <c r="AM8" s="2" t="inlineStr">
        <is>
          <t>is the turn's move</t>
        </is>
      </c>
      <c r="AN8" s="2" t="inlineStr">
        <is>
          <t>is the turn's move</t>
        </is>
      </c>
      <c r="AO8" s="2" t="inlineStr">
        <is>
          <t>is the turn's move</t>
        </is>
      </c>
      <c r="AP8" s="2" t="inlineStr">
        <is>
          <t>is the turn's move</t>
        </is>
      </c>
    </row>
    <row r="9">
      <c r="A9" s="13" t="inlineStr">
        <is>
          <t>Captures</t>
        </is>
      </c>
      <c r="B9" s="16" t="inlineStr"/>
      <c r="C9" s="2" t="inlineStr">
        <is>
          <t>never</t>
        </is>
      </c>
      <c r="D9" s="2" t="inlineStr">
        <is>
          <t>never</t>
        </is>
      </c>
      <c r="E9" s="2" t="inlineStr">
        <is>
          <t>never (printed: may)</t>
        </is>
      </c>
      <c r="F9" s="2" t="inlineStr">
        <is>
          <t>never (printed: may)</t>
        </is>
      </c>
      <c r="G9" s="2" t="inlineStr">
        <is>
          <t>never</t>
        </is>
      </c>
      <c r="H9" s="2" t="inlineStr">
        <is>
          <t>never</t>
        </is>
      </c>
      <c r="I9" s="2" t="inlineStr">
        <is>
          <t>never</t>
        </is>
      </c>
      <c r="J9" s="2" t="inlineStr">
        <is>
          <t>may, not a king</t>
        </is>
      </c>
      <c r="K9" s="2" t="inlineStr">
        <is>
          <t>the king may take pawns</t>
        </is>
      </c>
      <c r="L9" s="2" t="inlineStr">
        <is>
          <t>the king takes only a pawn or a guard</t>
        </is>
      </c>
      <c r="M9" s="2" t="inlineStr">
        <is>
          <t>must: the king takes only without moving</t>
        </is>
      </c>
      <c r="N9" s="2" t="inlineStr">
        <is>
          <t>pawns take only straight ahead; the king's step never</t>
        </is>
      </c>
      <c r="O9" s="2" t="inlineStr">
        <is>
          <t>never</t>
        </is>
      </c>
      <c r="P9" s="2" t="inlineStr">
        <is>
          <t>may, not a king</t>
        </is>
      </c>
      <c r="Q9" s="2" t="inlineStr">
        <is>
          <t>never</t>
        </is>
      </c>
      <c r="R9" s="2" t="inlineStr">
        <is>
          <t>never</t>
        </is>
      </c>
      <c r="S9" s="2" t="inlineStr">
        <is>
          <t>never</t>
        </is>
      </c>
      <c r="T9" s="2" t="inlineStr">
        <is>
          <t>may, on either move</t>
        </is>
      </c>
      <c r="U9" s="2" t="inlineStr">
        <is>
          <t>may on the first; the second must</t>
        </is>
      </c>
      <c r="V9" s="2" t="inlineStr">
        <is>
          <t>the copied card's</t>
        </is>
      </c>
      <c r="W9" s="2" t="inlineStr">
        <is>
          <t>the copied card's</t>
        </is>
      </c>
      <c r="X9" s="2" t="inlineStr">
        <is>
          <t>never</t>
        </is>
      </c>
      <c r="Y9" s="2" t="inlineStr">
        <is>
          <t>never</t>
        </is>
      </c>
      <c r="Z9" s="2" t="inlineStr">
        <is>
          <t>never</t>
        </is>
      </c>
      <c r="AA9" s="2" t="inlineStr">
        <is>
          <t>never</t>
        </is>
      </c>
      <c r="AB9" s="2" t="inlineStr">
        <is>
          <t>must</t>
        </is>
      </c>
      <c r="AC9" s="2" t="inlineStr">
        <is>
          <t>must</t>
        </is>
      </c>
      <c r="AD9" s="2" t="inlineStr">
        <is>
          <t>may</t>
        </is>
      </c>
      <c r="AE9" s="2" t="inlineStr">
        <is>
          <t>never</t>
        </is>
      </c>
      <c r="AF9" s="2" t="inlineStr">
        <is>
          <t>never</t>
        </is>
      </c>
      <c r="AG9" s="2" t="inlineStr">
        <is>
          <t>never</t>
        </is>
      </c>
      <c r="AH9" s="2" t="inlineStr">
        <is>
          <t>never, on either move</t>
        </is>
      </c>
      <c r="AI9" s="2" t="inlineStr">
        <is>
          <t>never</t>
        </is>
      </c>
      <c r="AJ9" s="2" t="inlineStr">
        <is>
          <t>never</t>
        </is>
      </c>
      <c r="AK9" s="2" t="inlineStr">
        <is>
          <t>never</t>
        </is>
      </c>
      <c r="AL9" s="2" t="inlineStr">
        <is>
          <t>never</t>
        </is>
      </c>
      <c r="AM9" s="2" t="inlineStr">
        <is>
          <t>never</t>
        </is>
      </c>
      <c r="AN9" s="2" t="inlineStr">
        <is>
          <t>never</t>
        </is>
      </c>
      <c r="AO9" s="2" t="inlineStr">
        <is>
          <t>never</t>
        </is>
      </c>
      <c r="AP9" s="2" t="inlineStr">
        <is>
          <t>never</t>
        </is>
      </c>
    </row>
    <row r="10">
      <c r="A10" s="13" t="inlineStr">
        <is>
          <t>Targets</t>
        </is>
      </c>
      <c r="B10" s="16" t="inlineStr"/>
      <c r="C10" s="2" t="inlineStr">
        <is>
          <t>an enemy piece or pawn, not the king</t>
        </is>
      </c>
      <c r="D10" s="2" t="inlineStr">
        <is>
          <t>an own piece or pawn, not the king</t>
        </is>
      </c>
      <c r="E10" s="2" t="inlineStr">
        <is>
          <t>an own piece, not the king or a pawn (printed: pawns too)</t>
        </is>
      </c>
      <c r="F10" s="2" t="inlineStr">
        <is>
          <t>an own piece, the king included</t>
        </is>
      </c>
      <c r="G10" s="2" t="inlineStr">
        <is>
          <t>an own piece or pawn, not the king</t>
        </is>
      </c>
      <c r="H10" s="2" t="inlineStr">
        <is>
          <t>an own pawn; the piece not a pawn, guard or king</t>
        </is>
      </c>
      <c r="I10" s="2" t="inlineStr">
        <is>
          <t>own pawns</t>
        </is>
      </c>
      <c r="J10" s="2" t="inlineStr">
        <is>
          <t>an own rook, bishop or queen</t>
        </is>
      </c>
      <c r="K10" s="2" t="inlineStr">
        <is>
          <t>own king: no enemy pawn takes it; own pieces beside, in front of or behind it cannot be taken</t>
        </is>
      </c>
      <c r="L10" s="2" t="inlineStr">
        <is>
          <t>own pieces next to the king cannot be taken, except by pawns</t>
        </is>
      </c>
      <c r="M10" s="2" t="inlineStr">
        <is>
          <t>● T2 (owner 2026-10-09): an enemy next to the king, or 2 straight forward or back (never sideways) over an empty square. ◐ as released: also sideways</t>
        </is>
      </c>
      <c r="N10" s="2" t="inlineStr">
        <is>
          <t>own pawns and king</t>
        </is>
      </c>
      <c r="O10" s="2" t="inlineStr">
        <is>
          <t>an own piece, not the king or a pawn; not as a king or pawn</t>
        </is>
      </c>
      <c r="P10" s="2" t="inlineStr">
        <is>
          <t>an own rook, bishop or queen; it passes a piece of either side, a king included</t>
        </is>
      </c>
      <c r="Q10" s="2" t="inlineStr">
        <is>
          <t>an enemy piece or pawn, not the king</t>
        </is>
      </c>
      <c r="R10" s="2" t="inlineStr">
        <is>
          <t>own pieces, not the king or pawns, not of one type</t>
        </is>
      </c>
      <c r="S10" s="2" t="inlineStr">
        <is>
          <t>an own lost piece, not a pawn, guard or king</t>
        </is>
      </c>
      <c r="T10" s="2" t="inlineStr">
        <is>
          <t>an own piece, the king included</t>
        </is>
      </c>
      <c r="U10" s="2" t="inlineStr">
        <is>
          <t>an own piece, the king included</t>
        </is>
      </c>
      <c r="V10" s="2" t="inlineStr">
        <is>
          <t>the copied card's</t>
        </is>
      </c>
      <c r="W10" s="2" t="inlineStr">
        <is>
          <t>the copied card's</t>
        </is>
      </c>
      <c r="X10" s="2" t="inlineStr">
        <is>
          <t>all own pieces</t>
        </is>
      </c>
      <c r="Y10" s="2" t="inlineStr">
        <is>
          <t>an own piece and an enemy piece, neither a king</t>
        </is>
      </c>
      <c r="Z10" s="2" t="inlineStr">
        <is>
          <t>pieces and pawns of either side, not kings</t>
        </is>
      </c>
      <c r="AA10" s="2" t="inlineStr">
        <is>
          <t>pieces and pawns of either side, not kings</t>
        </is>
      </c>
      <c r="AB10" s="2" t="inlineStr">
        <is>
          <t>an own piece, not a pawn or the king; an enemy on d4 e4 d5 e5, not the king</t>
        </is>
      </c>
      <c r="AC10" s="2" t="inlineStr">
        <is>
          <t>as Burn, on the enemy back rank</t>
        </is>
      </c>
      <c r="AD10" s="2" t="inlineStr">
        <is>
          <t>an own piece, not a pawn or the king; the neighbour not a pawn or king, nor of its type</t>
        </is>
      </c>
      <c r="AE10" s="2" t="inlineStr">
        <is>
          <t>the own Freeze, Ice Wall or Firewall</t>
        </is>
      </c>
      <c r="AF10" s="2" t="inlineStr">
        <is>
          <t>the own pile</t>
        </is>
      </c>
      <c r="AG10" s="2" t="inlineStr">
        <is>
          <t>the own pile</t>
        </is>
      </c>
      <c r="AH10" s="2" t="inlineStr">
        <is>
          <t>own pieces, the king included</t>
        </is>
      </c>
      <c r="AI10" s="2" t="inlineStr">
        <is>
          <t>an own piece, not the king or a pawn (a frozen one does not morph); the new type one the draw pool fields (`POOL`: queen, ogre, rook, bishop, knight, archer, guard, maester, beast), not its own, never a second Beast for the side (a second queen may come), a guard only where a guard may land</t>
        </is>
      </c>
      <c r="AJ10" s="2" t="inlineStr">
        <is>
          <t>as Morph, and the new type not a queen</t>
        </is>
      </c>
      <c r="AK10" s="2" t="inlineStr">
        <is>
          <t>an empty square; the own king not in check after (it may block a check)</t>
        </is>
      </c>
      <c r="AL10" s="2" t="inlineStr">
        <is>
          <t>an empty square of the king's 8 neighbours, not on rank 1 or 8; the king not in check after</t>
        </is>
      </c>
      <c r="AM10" s="2" t="inlineStr">
        <is>
          <t>two different empty squares of the start rank (at most 28 pairs); the king not in check after</t>
        </is>
      </c>
      <c r="AN10" s="2" t="inlineStr">
        <is>
          <t>two different empty squares next to the king, not on rank 1 or 8; the king not in check after</t>
        </is>
      </c>
      <c r="AO10" s="2" t="inlineStr">
        <is>
          <t>an own pawn (a frozen one does not morph); a knight or a bishop, whether or not the army fields one; never answers a check (the square stays filled)</t>
        </is>
      </c>
      <c r="AP10" s="2" t="inlineStr">
        <is>
          <t>two own pieces of different types, not the king or pawns (a frozen one does not swap; a guard only where a guard may land); each keeps its flags; the same squares stay filled, so it never answers a check and never exposes the king</t>
        </is>
      </c>
    </row>
    <row r="11">
      <c r="A11" s="13" t="inlineStr">
        <is>
          <t>Duration</t>
        </is>
      </c>
      <c r="B11" s="16" t="inlineStr"/>
      <c r="C11" s="2" t="inlineStr">
        <is>
          <t>opponent's next turn</t>
        </is>
      </c>
      <c r="D11" s="2" t="inlineStr">
        <is>
          <t>opponent's next turn</t>
        </is>
      </c>
      <c r="E11" s="2" t="inlineStr">
        <is>
          <t>instant</t>
        </is>
      </c>
      <c r="F11" s="2" t="inlineStr">
        <is>
          <t>instant</t>
        </is>
      </c>
      <c r="G11" s="2" t="inlineStr">
        <is>
          <t>instant</t>
        </is>
      </c>
      <c r="H11" s="2" t="inlineStr">
        <is>
          <t>instant</t>
        </is>
      </c>
      <c r="I11" s="2" t="inlineStr">
        <is>
          <t>always (king) · instant (card)</t>
        </is>
      </c>
      <c r="J11" s="2" t="inlineStr">
        <is>
          <t>instant</t>
        </is>
      </c>
      <c r="K11" s="2" t="inlineStr">
        <is>
          <t>always</t>
        </is>
      </c>
      <c r="L11" s="2" t="inlineStr">
        <is>
          <t>always</t>
        </is>
      </c>
      <c r="M11" s="2" t="inlineStr">
        <is>
          <t>always</t>
        </is>
      </c>
      <c r="N11" s="2" t="inlineStr">
        <is>
          <t>always</t>
        </is>
      </c>
      <c r="O11" s="2" t="inlineStr">
        <is>
          <t>instant</t>
        </is>
      </c>
      <c r="P11" s="2" t="inlineStr">
        <is>
          <t>instant</t>
        </is>
      </c>
      <c r="Q11" s="2" t="inlineStr">
        <is>
          <t>instant</t>
        </is>
      </c>
      <c r="R11" s="2" t="inlineStr">
        <is>
          <t>instant</t>
        </is>
      </c>
      <c r="S11" s="2" t="inlineStr">
        <is>
          <t>instant</t>
        </is>
      </c>
      <c r="T11" s="2" t="inlineStr">
        <is>
          <t>instant</t>
        </is>
      </c>
      <c r="U11" s="2" t="inlineStr">
        <is>
          <t>instant</t>
        </is>
      </c>
      <c r="V11" s="2" t="inlineStr">
        <is>
          <t>the copied card's</t>
        </is>
      </c>
      <c r="W11" s="2" t="inlineStr">
        <is>
          <t>the copied card's</t>
        </is>
      </c>
      <c r="X11" s="2" t="inlineStr">
        <is>
          <t>opponent's next turn</t>
        </is>
      </c>
      <c r="Y11" s="2" t="inlineStr">
        <is>
          <t>instant</t>
        </is>
      </c>
      <c r="Z11" s="2" t="inlineStr">
        <is>
          <t>instant</t>
        </is>
      </c>
      <c r="AA11" s="2" t="inlineStr">
        <is>
          <t>instant</t>
        </is>
      </c>
      <c r="AB11" s="2" t="inlineStr">
        <is>
          <t>instant</t>
        </is>
      </c>
      <c r="AC11" s="2" t="inlineStr">
        <is>
          <t>instant</t>
        </is>
      </c>
      <c r="AD11" s="2" t="inlineStr">
        <is>
          <t>instant</t>
        </is>
      </c>
      <c r="AE11" s="2" t="inlineStr">
        <is>
          <t>one more opponent turn</t>
        </is>
      </c>
      <c r="AF11" s="2" t="inlineStr">
        <is>
          <t>instant</t>
        </is>
      </c>
      <c r="AG11" s="2" t="inlineStr">
        <is>
          <t>instant</t>
        </is>
      </c>
      <c r="AH11" s="2" t="inlineStr">
        <is>
          <t>instant</t>
        </is>
      </c>
      <c r="AI11" s="2" t="inlineStr">
        <is>
          <t>instant</t>
        </is>
      </c>
      <c r="AJ11" s="2" t="inlineStr">
        <is>
          <t>instant</t>
        </is>
      </c>
      <c r="AK11" s="2" t="inlineStr">
        <is>
          <t>instant</t>
        </is>
      </c>
      <c r="AL11" s="2" t="inlineStr">
        <is>
          <t>instant</t>
        </is>
      </c>
      <c r="AM11" s="2" t="inlineStr">
        <is>
          <t>instant</t>
        </is>
      </c>
      <c r="AN11" s="2" t="inlineStr">
        <is>
          <t>instant</t>
        </is>
      </c>
      <c r="AO11" s="2" t="inlineStr">
        <is>
          <t>instant</t>
        </is>
      </c>
      <c r="AP11" s="2" t="inlineStr">
        <is>
          <t>instant</t>
        </is>
      </c>
    </row>
    <row r="12">
      <c r="A12" s="13" t="inlineStr">
        <is>
          <t>Has a condition</t>
        </is>
      </c>
      <c r="B12" s="16" t="inlineStr"/>
      <c r="C12" s="2" t="inlineStr">
        <is>
          <t>none</t>
        </is>
      </c>
      <c r="D12" s="2" t="inlineStr">
        <is>
          <t>none</t>
        </is>
      </c>
      <c r="E12" s="2" t="inlineStr">
        <is>
          <t>none</t>
        </is>
      </c>
      <c r="F12" s="2" t="inlineStr">
        <is>
          <t>none</t>
        </is>
      </c>
      <c r="G12" s="2" t="inlineStr">
        <is>
          <t>none</t>
        </is>
      </c>
      <c r="H12" s="2" t="inlineStr">
        <is>
          <t>none</t>
        </is>
      </c>
      <c r="I12" s="2" t="inlineStr">
        <is>
          <t>none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none</t>
        </is>
      </c>
      <c r="M12" s="2" t="inlineStr">
        <is>
          <t>none</t>
        </is>
      </c>
      <c r="N12" s="2" t="inlineStr">
        <is>
          <t>none</t>
        </is>
      </c>
      <c r="O12" s="2" t="inlineStr">
        <is>
          <t>none</t>
        </is>
      </c>
      <c r="P12" s="2" t="inlineStr">
        <is>
          <t>none</t>
        </is>
      </c>
      <c r="Q12" s="2" t="inlineStr">
        <is>
          <t>none</t>
        </is>
      </c>
      <c r="R12" s="2" t="inlineStr">
        <is>
          <t>none</t>
        </is>
      </c>
      <c r="S12" s="2" t="inlineStr">
        <is>
          <t>none</t>
        </is>
      </c>
      <c r="T12" s="2" t="inlineStr">
        <is>
          <t>none</t>
        </is>
      </c>
      <c r="U12" s="2" t="inlineStr">
        <is>
          <t>none</t>
        </is>
      </c>
      <c r="V12" s="2" t="inlineStr">
        <is>
          <t>none</t>
        </is>
      </c>
      <c r="W12" s="2" t="inlineStr">
        <is>
          <t>none</t>
        </is>
      </c>
      <c r="X12" s="2" t="inlineStr">
        <is>
          <t>none</t>
        </is>
      </c>
      <c r="Y12" s="2" t="inlineStr">
        <is>
          <t>none</t>
        </is>
      </c>
      <c r="Z12" s="2" t="inlineStr">
        <is>
          <t>none</t>
        </is>
      </c>
      <c r="AA12" s="2" t="inlineStr">
        <is>
          <t>none</t>
        </is>
      </c>
      <c r="AB12" s="2" t="inlineStr">
        <is>
          <t>a zone (capital / back rank)</t>
        </is>
      </c>
      <c r="AC12" s="2" t="inlineStr">
        <is>
          <t>a zone (capital / back rank)</t>
        </is>
      </c>
      <c r="AD12" s="2" t="inlineStr">
        <is>
          <t>none</t>
        </is>
      </c>
      <c r="AE12" s="2" t="inlineStr">
        <is>
          <t>none</t>
        </is>
      </c>
      <c r="AF12" s="2" t="inlineStr">
        <is>
          <t>none</t>
        </is>
      </c>
      <c r="AG12" s="2" t="inlineStr">
        <is>
          <t>none</t>
        </is>
      </c>
      <c r="AH12" s="2" t="inlineStr">
        <is>
          <t>none</t>
        </is>
      </c>
      <c r="AI12" s="2" t="inlineStr">
        <is>
          <t>none</t>
        </is>
      </c>
      <c r="AJ12" s="2" t="inlineStr">
        <is>
          <t>none</t>
        </is>
      </c>
      <c r="AK12" s="2" t="inlineStr">
        <is>
          <t>none</t>
        </is>
      </c>
      <c r="AL12" s="2" t="inlineStr">
        <is>
          <t>none</t>
        </is>
      </c>
      <c r="AM12" s="2" t="inlineStr">
        <is>
          <t>none</t>
        </is>
      </c>
      <c r="AN12" s="2" t="inlineStr">
        <is>
          <t>none</t>
        </is>
      </c>
      <c r="AO12" s="2" t="inlineStr">
        <is>
          <t>none</t>
        </is>
      </c>
      <c r="AP12" s="2" t="inlineStr">
        <is>
          <t>none</t>
        </is>
      </c>
    </row>
    <row r="13">
      <c r="A13" s="13" t="inlineStr">
        <is>
          <t>Is a condition</t>
        </is>
      </c>
      <c r="B13" s="16" t="inlineStr"/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no</t>
        </is>
      </c>
      <c r="U13" s="2" t="inlineStr">
        <is>
          <t>no</t>
        </is>
      </c>
      <c r="V13" s="2" t="inlineStr">
        <is>
          <t>yes: copies a card</t>
        </is>
      </c>
      <c r="W13" s="2" t="inlineStr">
        <is>
          <t>yes: copies a card</t>
        </is>
      </c>
      <c r="X13" s="2" t="inlineStr">
        <is>
          <t>no</t>
        </is>
      </c>
      <c r="Y13" s="2" t="inlineStr">
        <is>
          <t>no</t>
        </is>
      </c>
      <c r="Z13" s="2" t="inlineStr">
        <is>
          <t>no</t>
        </is>
      </c>
      <c r="AA13" s="2" t="inlineStr">
        <is>
          <t>no</t>
        </is>
      </c>
      <c r="AB13" s="2" t="inlineStr">
        <is>
          <t>no</t>
        </is>
      </c>
      <c r="AC13" s="2" t="inlineStr">
        <is>
          <t>no</t>
        </is>
      </c>
      <c r="AD13" s="2" t="inlineStr">
        <is>
          <t>no</t>
        </is>
      </c>
      <c r="AE13" s="2" t="inlineStr">
        <is>
          <t>no</t>
        </is>
      </c>
      <c r="AF13" s="2" t="inlineStr">
        <is>
          <t>no</t>
        </is>
      </c>
      <c r="AG13" s="2" t="inlineStr">
        <is>
          <t>no</t>
        </is>
      </c>
      <c r="AH13" s="2" t="inlineStr">
        <is>
          <t>no</t>
        </is>
      </c>
      <c r="AI13" s="2" t="inlineStr">
        <is>
          <t>no</t>
        </is>
      </c>
      <c r="AJ13" s="2" t="inlineStr">
        <is>
          <t>no</t>
        </is>
      </c>
      <c r="AK13" s="2" t="inlineStr">
        <is>
          <t>no</t>
        </is>
      </c>
      <c r="AL13" s="2" t="inlineStr">
        <is>
          <t>no</t>
        </is>
      </c>
      <c r="AM13" s="2" t="inlineStr">
        <is>
          <t>no</t>
        </is>
      </c>
      <c r="AN13" s="2" t="inlineStr">
        <is>
          <t>no</t>
        </is>
      </c>
      <c r="AO13" s="2" t="inlineStr">
        <is>
          <t>no</t>
        </is>
      </c>
      <c r="AP13" s="2" t="inlineStr">
        <is>
          <t>no</t>
        </is>
      </c>
    </row>
    <row r="14">
      <c r="A14" s="13" t="inlineStr">
        <is>
          <t>Shackled</t>
        </is>
      </c>
      <c r="B14" s="16" t="inlineStr"/>
      <c r="C14" s="2" t="inlineStr">
        <is>
          <t>no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no</t>
        </is>
      </c>
      <c r="R14" s="2" t="inlineStr">
        <is>
          <t>no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no</t>
        </is>
      </c>
      <c r="V14" s="2" t="inlineStr">
        <is>
          <t>no</t>
        </is>
      </c>
      <c r="W14" s="2" t="inlineStr">
        <is>
          <t>no</t>
        </is>
      </c>
      <c r="X14" s="2" t="inlineStr">
        <is>
          <t>no</t>
        </is>
      </c>
      <c r="Y14" s="2" t="inlineStr">
        <is>
          <t>no</t>
        </is>
      </c>
      <c r="Z14" s="2" t="inlineStr">
        <is>
          <t>no</t>
        </is>
      </c>
      <c r="AA14" s="2" t="inlineStr">
        <is>
          <t>no</t>
        </is>
      </c>
      <c r="AB14" s="2" t="inlineStr">
        <is>
          <t>no</t>
        </is>
      </c>
      <c r="AC14" s="2" t="inlineStr">
        <is>
          <t>no</t>
        </is>
      </c>
      <c r="AD14" s="2" t="inlineStr">
        <is>
          <t>no</t>
        </is>
      </c>
      <c r="AE14" s="2" t="inlineStr">
        <is>
          <t>no</t>
        </is>
      </c>
      <c r="AF14" s="2" t="inlineStr">
        <is>
          <t>no</t>
        </is>
      </c>
      <c r="AG14" s="2" t="inlineStr">
        <is>
          <t>no</t>
        </is>
      </c>
      <c r="AH14" s="2" t="inlineStr">
        <is>
          <t>no</t>
        </is>
      </c>
      <c r="AI14" s="2" t="inlineStr">
        <is>
          <t>no</t>
        </is>
      </c>
      <c r="AJ14" s="2" t="inlineStr">
        <is>
          <t>no</t>
        </is>
      </c>
      <c r="AK14" s="2" t="inlineStr">
        <is>
          <t>no</t>
        </is>
      </c>
      <c r="AL14" s="2" t="inlineStr">
        <is>
          <t>no</t>
        </is>
      </c>
      <c r="AM14" s="2" t="inlineStr">
        <is>
          <t>no</t>
        </is>
      </c>
      <c r="AN14" s="2" t="inlineStr">
        <is>
          <t>no</t>
        </is>
      </c>
      <c r="AO14" s="2" t="inlineStr">
        <is>
          <t>no</t>
        </is>
      </c>
      <c r="AP14" s="2" t="inlineStr">
        <is>
          <t>no</t>
        </is>
      </c>
    </row>
    <row r="15">
      <c r="A15" s="13" t="inlineStr">
        <is>
          <t>Promotion</t>
        </is>
      </c>
      <c r="B15" s="16" t="inlineStr"/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no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no</t>
        </is>
      </c>
      <c r="X15" s="2" t="inlineStr">
        <is>
          <t>no</t>
        </is>
      </c>
      <c r="Y15" s="2" t="inlineStr">
        <is>
          <t>no</t>
        </is>
      </c>
      <c r="Z15" s="2" t="inlineStr">
        <is>
          <t>no</t>
        </is>
      </c>
      <c r="AA15" s="2" t="inlineStr">
        <is>
          <t>no</t>
        </is>
      </c>
      <c r="AB15" s="2" t="inlineStr">
        <is>
          <t>no</t>
        </is>
      </c>
      <c r="AC15" s="2" t="inlineStr">
        <is>
          <t>no</t>
        </is>
      </c>
      <c r="AD15" s="2" t="inlineStr">
        <is>
          <t>no</t>
        </is>
      </c>
      <c r="AE15" s="2" t="inlineStr">
        <is>
          <t>no</t>
        </is>
      </c>
      <c r="AF15" s="2" t="inlineStr">
        <is>
          <t>no</t>
        </is>
      </c>
      <c r="AG15" s="2" t="inlineStr">
        <is>
          <t>no</t>
        </is>
      </c>
      <c r="AH15" s="2" t="inlineStr">
        <is>
          <t>no</t>
        </is>
      </c>
      <c r="AI15" s="2" t="inlineStr">
        <is>
          <t>yes</t>
        </is>
      </c>
      <c r="AJ15" s="2" t="inlineStr">
        <is>
          <t>yes</t>
        </is>
      </c>
      <c r="AK15" s="2" t="inlineStr">
        <is>
          <t>no</t>
        </is>
      </c>
      <c r="AL15" s="2" t="inlineStr">
        <is>
          <t>no</t>
        </is>
      </c>
      <c r="AM15" s="2" t="inlineStr">
        <is>
          <t>no</t>
        </is>
      </c>
      <c r="AN15" s="2" t="inlineStr">
        <is>
          <t>no</t>
        </is>
      </c>
      <c r="AO15" s="2" t="inlineStr">
        <is>
          <t>yes</t>
        </is>
      </c>
      <c r="AP15" s="2" t="inlineStr">
        <is>
          <t>no</t>
        </is>
      </c>
    </row>
    <row r="16">
      <c r="A16" s="13" t="inlineStr">
        <is>
          <t>fromMove</t>
        </is>
      </c>
      <c r="B16" s="16" t="inlineStr"/>
      <c r="C16" s="2" t="inlineStr">
        <is>
          <t>none</t>
        </is>
      </c>
      <c r="D16" s="2" t="inlineStr">
        <is>
          <t>none</t>
        </is>
      </c>
      <c r="E16" s="2" t="inlineStr">
        <is>
          <t>none</t>
        </is>
      </c>
      <c r="F16" s="2" t="inlineStr">
        <is>
          <t>none</t>
        </is>
      </c>
      <c r="G16" s="2" t="inlineStr">
        <is>
          <t>none</t>
        </is>
      </c>
      <c r="H16" s="2" t="inlineStr">
        <is>
          <t>none</t>
        </is>
      </c>
      <c r="I16" s="2" t="inlineStr">
        <is>
          <t>none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none</t>
        </is>
      </c>
      <c r="M16" s="2" t="inlineStr">
        <is>
          <t>none</t>
        </is>
      </c>
      <c r="N16" s="2" t="inlineStr">
        <is>
          <t>none</t>
        </is>
      </c>
      <c r="O16" s="2" t="inlineStr">
        <is>
          <t>none</t>
        </is>
      </c>
      <c r="P16" s="2" t="inlineStr">
        <is>
          <t>none</t>
        </is>
      </c>
      <c r="Q16" s="2" t="inlineStr">
        <is>
          <t>none</t>
        </is>
      </c>
      <c r="R16" s="2" t="inlineStr">
        <is>
          <t>none</t>
        </is>
      </c>
      <c r="S16" s="2" t="inlineStr">
        <is>
          <t>none</t>
        </is>
      </c>
      <c r="T16" s="2" t="inlineStr">
        <is>
          <t>none</t>
        </is>
      </c>
      <c r="U16" s="2" t="inlineStr">
        <is>
          <t>none</t>
        </is>
      </c>
      <c r="V16" s="2" t="inlineStr">
        <is>
          <t>none</t>
        </is>
      </c>
      <c r="W16" s="2" t="inlineStr">
        <is>
          <t>none</t>
        </is>
      </c>
      <c r="X16" s="2" t="inlineStr">
        <is>
          <t>none</t>
        </is>
      </c>
      <c r="Y16" s="2" t="inlineStr">
        <is>
          <t>none</t>
        </is>
      </c>
      <c r="Z16" s="2" t="inlineStr">
        <is>
          <t>none</t>
        </is>
      </c>
      <c r="AA16" s="2" t="inlineStr">
        <is>
          <t>none</t>
        </is>
      </c>
      <c r="AB16" s="2" t="inlineStr">
        <is>
          <t>none</t>
        </is>
      </c>
      <c r="AC16" s="2" t="inlineStr">
        <is>
          <t>none</t>
        </is>
      </c>
      <c r="AD16" s="2" t="inlineStr">
        <is>
          <t>none</t>
        </is>
      </c>
      <c r="AE16" s="2" t="inlineStr">
        <is>
          <t>none</t>
        </is>
      </c>
      <c r="AF16" s="2" t="inlineStr">
        <is>
          <t>none</t>
        </is>
      </c>
      <c r="AG16" s="2" t="inlineStr">
        <is>
          <t>none</t>
        </is>
      </c>
      <c r="AH16" s="2" t="inlineStr">
        <is>
          <t>none</t>
        </is>
      </c>
      <c r="AI16" s="2" t="inlineStr">
        <is>
          <t>none</t>
        </is>
      </c>
      <c r="AJ16" s="2" t="inlineStr">
        <is>
          <t>none</t>
        </is>
      </c>
      <c r="AK16" s="2" t="inlineStr">
        <is>
          <t>none</t>
        </is>
      </c>
      <c r="AL16" s="2" t="inlineStr">
        <is>
          <t>none</t>
        </is>
      </c>
      <c r="AM16" s="2" t="inlineStr">
        <is>
          <t>none</t>
        </is>
      </c>
      <c r="AN16" s="2" t="inlineStr">
        <is>
          <t>none</t>
        </is>
      </c>
      <c r="AO16" s="2" t="inlineStr">
        <is>
          <t>none</t>
        </is>
      </c>
      <c r="AP16" s="2" t="inlineStr">
        <is>
          <t>none</t>
        </is>
      </c>
    </row>
  </sheetData>
  <dataValidations count="13">
    <dataValidation sqref="B4" showDropDown="0" showInputMessage="0" showErrorMessage="0" allowBlank="1" error="Pick a value from the list" type="list" errorStyle="warning">
      <formula1>Lists!$S$1:$S$3</formula1>
    </dataValidation>
    <dataValidation sqref="B5" showDropDown="0" showInputMessage="0" showErrorMessage="0" allowBlank="1" error="Pick a value from the list" type="list" errorStyle="warning">
      <formula1>Lists!$T$1:$T$9</formula1>
    </dataValidation>
    <dataValidation sqref="B6" showDropDown="0" showInputMessage="0" showErrorMessage="0" allowBlank="1" error="Pick a value from the list" type="list" errorStyle="warning">
      <formula1>Lists!$U$1:$U$2</formula1>
    </dataValidation>
    <dataValidation sqref="B7" showDropDown="0" showInputMessage="0" showErrorMessage="0" allowBlank="1" error="Pick a value from the list" type="list" errorStyle="warning">
      <formula1>Lists!$V$1:$V$3</formula1>
    </dataValidation>
    <dataValidation sqref="B8" showDropDown="0" showInputMessage="0" showErrorMessage="0" allowBlank="1" error="Pick a value from the list" type="list" errorStyle="warning">
      <formula1>Lists!$W$1:$W$3</formula1>
    </dataValidation>
    <dataValidation sqref="B9" showDropDown="0" showInputMessage="0" showErrorMessage="0" allowBlank="1" error="Pick a value from the list" type="list" errorStyle="warning">
      <formula1>Lists!$X$1:$X$3</formula1>
    </dataValidation>
    <dataValidation sqref="B10" showDropDown="0" showInputMessage="0" showErrorMessage="0" allowBlank="1" error="Pick a value from the list" type="list" errorStyle="warning">
      <formula1>Lists!$Y$1:$Y$3</formula1>
    </dataValidation>
    <dataValidation sqref="B11" showDropDown="0" showInputMessage="0" showErrorMessage="0" allowBlank="1" error="Pick a value from the list" type="list" errorStyle="warning">
      <formula1>Lists!$Z$1:$Z$3</formula1>
    </dataValidation>
    <dataValidation sqref="B12" showDropDown="0" showInputMessage="0" showErrorMessage="0" allowBlank="1" error="Pick a value from the list" type="list" errorStyle="warning">
      <formula1>Lists!$AA$1:$AA$6</formula1>
    </dataValidation>
    <dataValidation sqref="B13" showDropDown="0" showInputMessage="0" showErrorMessage="0" allowBlank="1" error="Pick a value from the list" type="list" errorStyle="warning">
      <formula1>Lists!$AB$1:$AB$2</formula1>
    </dataValidation>
    <dataValidation sqref="B14" showDropDown="0" showInputMessage="0" showErrorMessage="0" allowBlank="1" error="Pick a value from the list" type="list" errorStyle="warning">
      <formula1>Lists!$AC$1:$AC$2</formula1>
    </dataValidation>
    <dataValidation sqref="B15" showDropDown="0" showInputMessage="0" showErrorMessage="0" allowBlank="1" error="Pick a value from the list" type="list" errorStyle="warning">
      <formula1>Lists!$AD$1:$AD$2</formula1>
    </dataValidation>
    <dataValidation sqref="B16" showDropDown="0" showInputMessage="0" showErrorMessage="0" allowBlank="1" error="Pick a value from the list" type="list" errorStyle="warning">
      <formula1>Lists!$AE$1:$AE$2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1</t>
        </is>
      </c>
      <c r="B1">
        <f> move</f>
        <v/>
      </c>
      <c r="C1" t="inlineStr">
        <is>
          <t>— no</t>
        </is>
      </c>
      <c r="D1" t="inlineStr">
        <is>
          <t>— no</t>
        </is>
      </c>
      <c r="E1" t="inlineStr">
        <is>
          <t>— no</t>
        </is>
      </c>
      <c r="F1" t="inlineStr">
        <is>
          <t>— no</t>
        </is>
      </c>
      <c r="G1" t="inlineStr">
        <is>
          <t>— no</t>
        </is>
      </c>
      <c r="H1" t="inlineStr">
        <is>
          <t>same</t>
        </is>
      </c>
      <c r="I1" t="inlineStr">
        <is>
          <t>— no</t>
        </is>
      </c>
      <c r="J1" t="inlineStr">
        <is>
          <t>— no</t>
        </is>
      </c>
      <c r="K1" t="inlineStr">
        <is>
          <t>— no</t>
        </is>
      </c>
      <c r="L1" t="inlineStr">
        <is>
          <t>— no</t>
        </is>
      </c>
      <c r="M1" t="inlineStr">
        <is>
          <t>— no</t>
        </is>
      </c>
      <c r="N1" t="inlineStr">
        <is>
          <t>— no</t>
        </is>
      </c>
      <c r="O1" t="inlineStr">
        <is>
          <t>— no</t>
        </is>
      </c>
      <c r="P1" t="inlineStr">
        <is>
          <t>— no</t>
        </is>
      </c>
      <c r="Q1" t="inlineStr">
        <is>
          <t>— no</t>
        </is>
      </c>
      <c r="R1" t="inlineStr">
        <is>
          <t>— no</t>
        </is>
      </c>
      <c r="S1" t="inlineStr">
        <is>
          <t>king power</t>
        </is>
      </c>
      <c r="T1" t="inlineStr">
        <is>
          <t>always-on (changes the rules while the king has it)</t>
        </is>
      </c>
      <c r="U1" t="inlineStr">
        <is>
          <t>common (default)</t>
        </is>
      </c>
      <c r="V1" t="inlineStr">
        <is>
          <t>n per game (king power)</t>
        </is>
      </c>
      <c r="W1" t="inlineStr">
        <is>
          <t>is the turn's move</t>
        </is>
      </c>
      <c r="X1" t="inlineStr">
        <is>
          <t>may</t>
        </is>
      </c>
      <c r="Y1" t="inlineStr">
        <is>
          <t>own</t>
        </is>
      </c>
      <c r="Z1" t="inlineStr">
        <is>
          <t>instant</t>
        </is>
      </c>
      <c r="AA1" t="inlineStr">
        <is>
          <t>none</t>
        </is>
      </c>
      <c r="AB1" t="inlineStr">
        <is>
          <t>no</t>
        </is>
      </c>
      <c r="AC1" t="inlineStr">
        <is>
          <t>no</t>
        </is>
      </c>
      <c r="AD1" t="inlineStr">
        <is>
          <t>no</t>
        </is>
      </c>
      <c r="AE1" t="inlineStr">
        <is>
          <t>none (default)</t>
        </is>
      </c>
    </row>
    <row r="2">
      <c r="A2" t="inlineStr">
        <is>
          <t>step 2</t>
        </is>
      </c>
      <c r="B2" t="inlineStr">
        <is>
          <t>shot without moving (distance 1)</t>
        </is>
      </c>
      <c r="C2" t="inlineStr">
        <is>
          <t>home rank only</t>
        </is>
      </c>
      <c r="D2" t="inlineStr">
        <is>
          <t>friendly half only</t>
        </is>
      </c>
      <c r="E2" t="inlineStr">
        <is>
          <t>cannot be taken except by a king</t>
        </is>
      </c>
      <c r="F2" t="inlineStr">
        <is>
          <t>cannot take a king</t>
        </is>
      </c>
      <c r="G2" t="inlineStr">
        <is>
          <t>2 forward from the home rank</t>
        </is>
      </c>
      <c r="H2" t="inlineStr">
        <is>
          <t>differs: shoots without moving</t>
        </is>
      </c>
      <c r="I2" t="inlineStr">
        <is>
          <t>yes: leaps over any piece</t>
        </is>
      </c>
      <c r="J2" t="inlineStr">
        <is>
          <t>yes: jumps friends</t>
        </is>
      </c>
      <c r="K2" t="inlineStr">
        <is>
          <t>yes: over enemies</t>
        </is>
      </c>
      <c r="L2" t="inlineStr">
        <is>
          <t>pushes one neighbour</t>
        </is>
      </c>
      <c r="M2" t="inlineStr">
        <is>
          <t>swaps with an adjacent friend</t>
        </is>
      </c>
      <c r="N2" t="inlineStr">
        <is>
          <t>swaps with an adjacent enemy</t>
        </is>
      </c>
      <c r="O2" t="inlineStr">
        <is>
          <t>yes: push and follow</t>
        </is>
      </c>
      <c r="P2" t="inlineStr">
        <is>
          <t>yes: push and stay</t>
        </is>
      </c>
      <c r="Q2" t="inlineStr">
        <is>
          <t>dies after any capture</t>
        </is>
      </c>
      <c r="R2" t="inlineStr">
        <is>
          <t>cannot take a king</t>
        </is>
      </c>
      <c r="S2" t="inlineStr">
        <is>
          <t>card</t>
        </is>
      </c>
      <c r="T2" t="inlineStr">
        <is>
          <t>mark (binds the opponent's next turn)</t>
        </is>
      </c>
      <c r="U2" t="inlineStr">
        <is>
          <t>legendary: dealt rarely, with legendary graphic effects (owner, 2026-10-06; card mode, not built yet). Rage is legendary; every other row below is common.</t>
        </is>
      </c>
      <c r="V2" t="inlineStr">
        <is>
          <t>1 (every card)</t>
        </is>
      </c>
      <c r="W2" t="inlineStr">
        <is>
          <t>then make the move (a free action, `markFree`)</t>
        </is>
      </c>
      <c r="X2" t="inlineStr">
        <is>
          <t>must</t>
        </is>
      </c>
      <c r="Y2" t="inlineStr">
        <is>
          <t>enemy</t>
        </is>
      </c>
      <c r="Z2" t="inlineStr">
        <is>
          <t>opponent's next turn (◐ `markTurns: 2`: two turns)</t>
        </is>
      </c>
      <c r="AA2" t="inlineStr">
        <is>
          <t>a zone (a rank, half, the capital)</t>
        </is>
      </c>
      <c r="AB2" t="inlineStr">
        <is>
          <t>yes: playing this card (or any card) triggers something else, for either side — see D.1. Example: Mirror answers the opponent's last card</t>
        </is>
      </c>
      <c r="AC2" t="inlineStr">
        <is>
          <t>yes: weaker or off until a condition (`fromMove` is "off until move N") — see D.2</t>
        </is>
      </c>
      <c r="AD2" t="inlineStr">
        <is>
          <t>yes: a piece changes its type on a condition — see D.3</t>
        </is>
      </c>
      <c r="AE2" t="inlineStr">
        <is>
          <t>N: not before the side's own move N (◐ `fromMove=Haste:10+Rage:8`; `Position.move`, the full-move number). Spendable powers and cards only; refused for an always-on power. A Mirror may not copy a card before its move. Every row below is none.</t>
        </is>
      </c>
    </row>
    <row r="3">
      <c r="A3" t="inlineStr">
        <is>
          <t>forward 1</t>
        </is>
      </c>
      <c r="B3" t="inlineStr">
        <is>
          <t>shot without moving (distance 2)</t>
        </is>
      </c>
      <c r="E3" t="inlineStr">
        <is>
          <t>never taken (only mated)</t>
        </is>
      </c>
      <c r="F3" t="inlineStr">
        <is>
          <t>cannot take pawns</t>
        </is>
      </c>
      <c r="G3" t="inlineStr">
        <is>
          <t>2 any way from the home rank (slide or leap)</t>
        </is>
      </c>
      <c r="H3" t="inlineStr">
        <is>
          <t>differs: lob</t>
        </is>
      </c>
      <c r="I3" t="inlineStr">
        <is>
          <t>home rank only</t>
        </is>
      </c>
      <c r="K3" t="inlineStr">
        <is>
          <t>exactly one enemy (a screen)</t>
        </is>
      </c>
      <c r="M3" t="inlineStr">
        <is>
          <t>swaps with its king</t>
        </is>
      </c>
      <c r="N3" t="inlineStr">
        <is>
          <t>pushes an enemy</t>
        </is>
      </c>
      <c r="Q3" t="inlineStr">
        <is>
          <t>dies after a non-pawn capture</t>
        </is>
      </c>
      <c r="R3" t="inlineStr">
        <is>
          <t>only a king takes it</t>
        </is>
      </c>
      <c r="S3" t="inlineStr">
        <is>
          <t>both (a spendable king power is also dealt as a card)</t>
        </is>
      </c>
      <c r="T3" t="inlineStr">
        <is>
          <t>extra move (a second move follows in the same turn)</t>
        </is>
      </c>
      <c r="V3" t="inlineStr">
        <is>
          <t>— (always-on)</t>
        </is>
      </c>
      <c r="W3" t="inlineStr">
        <is>
          <t>extra move (the second move may be skipped)</t>
        </is>
      </c>
      <c r="X3" t="inlineStr">
        <is>
          <t>never</t>
        </is>
      </c>
      <c r="Y3" t="inlineStr">
        <is>
          <t>either; which kings and pawns are excluded</t>
        </is>
      </c>
      <c r="Z3" t="inlineStr">
        <is>
          <t>always</t>
        </is>
      </c>
      <c r="AA3" t="inlineStr">
        <is>
          <t>tag team (next to a given piece)</t>
        </is>
      </c>
    </row>
    <row r="4">
      <c r="A4" t="inlineStr">
        <is>
          <t>leap 2+1</t>
        </is>
      </c>
      <c r="B4" t="inlineStr">
        <is>
          <t>takes on any adjacent square</t>
        </is>
      </c>
      <c r="E4" t="inlineStr">
        <is>
          <t>cannot be taken by pawns</t>
        </is>
      </c>
      <c r="F4" t="inlineStr">
        <is>
          <t>cannot take pieces</t>
        </is>
      </c>
      <c r="H4" t="inlineStr">
        <is>
          <t>differs: takes on any adjacent square</t>
        </is>
      </c>
      <c r="M4" t="inlineStr">
        <is>
          <t>pushes a friend</t>
        </is>
      </c>
      <c r="Q4" t="inlineStr">
        <is>
          <t>may capture again (chain)</t>
        </is>
      </c>
      <c r="R4" t="inlineStr">
        <is>
          <t>swaps only with the king</t>
        </is>
      </c>
      <c r="T4" t="inlineStr">
        <is>
          <t>special move (a move no piece has)</t>
        </is>
      </c>
      <c r="AA4" t="inlineStr">
        <is>
          <t>turn N (`fromMove`)</t>
        </is>
      </c>
    </row>
    <row r="5">
      <c r="A5" t="inlineStr">
        <is>
          <t>diagonal slide</t>
        </is>
      </c>
      <c r="B5" t="inlineStr">
        <is>
          <t>lob over one enemy screen</t>
        </is>
      </c>
      <c r="E5" t="inlineStr">
        <is>
          <t>cannot be taken for 1 turn</t>
        </is>
      </c>
      <c r="F5" t="inlineStr">
        <is>
          <t>cannot take anything</t>
        </is>
      </c>
      <c r="H5" t="inlineStr">
        <is>
          <t>n/a: never takes</t>
        </is>
      </c>
      <c r="Q5" t="inlineStr">
        <is>
          <t>spent after one capture</t>
        </is>
      </c>
      <c r="R5" t="inlineStr">
        <is>
          <t>never pushes a king</t>
        </is>
      </c>
      <c r="T5" t="inlineStr">
        <is>
          <t>arrival (a piece comes onto the board)</t>
        </is>
      </c>
      <c r="AA5" t="inlineStr">
        <is>
          <t>a capture</t>
        </is>
      </c>
    </row>
    <row r="6">
      <c r="A6" t="inlineStr">
        <is>
          <t>straight slide</t>
        </is>
      </c>
      <c r="B6" t="inlineStr">
        <is>
          <t>none</t>
        </is>
      </c>
      <c r="T6" t="inlineStr">
        <is>
          <t>copy (plays another card)</t>
        </is>
      </c>
      <c r="AA6" t="inlineStr">
        <is>
          <t>a card played — see D.1. Example: "not before move 10"</t>
        </is>
      </c>
    </row>
    <row r="7">
      <c r="A7" t="inlineStr">
        <is>
          <t>slide any way</t>
        </is>
      </c>
      <c r="T7" t="inlineStr">
        <is>
          <t>draw (takes a card from the pile)</t>
        </is>
      </c>
    </row>
    <row r="8">
      <c r="A8" t="inlineStr">
        <is>
          <t>slide, jumps friends</t>
        </is>
      </c>
      <c r="T8" t="inlineStr">
        <is>
          <t>promotion (a piece changes its type, D.3: ◐ Morph, MorphB, MorphP)</t>
        </is>
      </c>
    </row>
    <row r="9">
      <c r="A9" t="inlineStr">
        <is>
          <t>straight slide, empty squares only</t>
        </is>
      </c>
      <c r="T9" t="inlineStr">
        <is>
          <t>spawn (a new piece, not a captured one, comes onto the board, D.5: ◐ Spawn, SpawnK, Spawn2, SpawnK2)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2026-10-09T13:53:58Z</dcterms:created>
  <dcterms:modified xsi:type="dcterms:W3CDTF">2026-10-09T14:03:28Z</dcterms:modified>
</cp:coreProperties>
</file>